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Fair Olis\Downloads\"/>
    </mc:Choice>
  </mc:AlternateContent>
  <xr:revisionPtr revIDLastSave="0" documentId="13_ncr:1_{95C612E4-62F5-4CEA-BA8F-2CE5B947D07B}" xr6:coauthVersionLast="47" xr6:coauthVersionMax="47" xr10:uidLastSave="{00000000-0000-0000-0000-000000000000}"/>
  <bookViews>
    <workbookView xWindow="-110" yWindow="-110" windowWidth="19420" windowHeight="10300" firstSheet="1" activeTab="4" xr2:uid="{998FE096-2A94-449C-88B3-E99D5775915E}"/>
  </bookViews>
  <sheets>
    <sheet name="Access_to_basic_services" sheetId="1" r:id="rId1"/>
    <sheet name="Summary Statistics" sheetId="6" r:id="rId2"/>
    <sheet name="Trend Over Time" sheetId="5" r:id="rId3"/>
    <sheet name="Regional Comparison" sheetId="4" r:id="rId4"/>
    <sheet name="Charts" sheetId="7" r:id="rId5"/>
    <sheet name="Access_to_basic_services (2)" sheetId="3" state="hidden" r:id="rId6"/>
  </sheets>
  <definedNames>
    <definedName name="_xlnm._FilterDatabase" localSheetId="0" hidden="1">Access_to_basic_services!$A$1:$J$1049</definedName>
    <definedName name="_xlnm._FilterDatabase" localSheetId="5" hidden="1">'Access_to_basic_services (2)'!$A$1:$J$1049</definedName>
  </definedNames>
  <calcPr calcId="191029"/>
  <pivotCaches>
    <pivotCache cacheId="0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052" i="1" l="1"/>
  <c r="E1051" i="1"/>
  <c r="E1053" i="1" l="1"/>
  <c r="E1054" i="1" s="1"/>
  <c r="E1055" i="1" l="1"/>
</calcChain>
</file>

<file path=xl/sharedStrings.xml><?xml version="1.0" encoding="utf-8"?>
<sst xmlns="http://schemas.openxmlformats.org/spreadsheetml/2006/main" count="9095" uniqueCount="241">
  <si>
    <t>Region</t>
  </si>
  <si>
    <t>Sub_region</t>
  </si>
  <si>
    <t>Country_name</t>
  </si>
  <si>
    <t>Time_period</t>
  </si>
  <si>
    <t>Pct_managed_drinking_water_services</t>
  </si>
  <si>
    <t>Pct_managed_sanitation_services</t>
  </si>
  <si>
    <t>Est_population_in_millions</t>
  </si>
  <si>
    <t>Est_gdp_in_billions</t>
  </si>
  <si>
    <t>Land_area</t>
  </si>
  <si>
    <t>Pct_unemployment</t>
  </si>
  <si>
    <t>Central and Southern Asia</t>
  </si>
  <si>
    <t>Central Asia</t>
  </si>
  <si>
    <t>Kazakhstan</t>
  </si>
  <si>
    <t>Kyrgyzstan</t>
  </si>
  <si>
    <t>NULL</t>
  </si>
  <si>
    <t>Tajikistan</t>
  </si>
  <si>
    <t>Turkmenistan</t>
  </si>
  <si>
    <t>Uzbekistan</t>
  </si>
  <si>
    <t>Southern Asia</t>
  </si>
  <si>
    <t>Afghanistan</t>
  </si>
  <si>
    <t>Bangladesh</t>
  </si>
  <si>
    <t>Bhutan</t>
  </si>
  <si>
    <t>India</t>
  </si>
  <si>
    <t>Iran (Islamic Republic of)</t>
  </si>
  <si>
    <t>Maldives</t>
  </si>
  <si>
    <t>Nepal</t>
  </si>
  <si>
    <t>Pakistan</t>
  </si>
  <si>
    <t>Sri Lanka</t>
  </si>
  <si>
    <t>Eastern and South-Eastern Asia</t>
  </si>
  <si>
    <t>Eastern Asia</t>
  </si>
  <si>
    <t>China</t>
  </si>
  <si>
    <t>Democratic People's Republic of Korea</t>
  </si>
  <si>
    <t>Japan</t>
  </si>
  <si>
    <t>Mongolia</t>
  </si>
  <si>
    <t>Republic of Korea</t>
  </si>
  <si>
    <t>South-Eastern Asia</t>
  </si>
  <si>
    <t>Brunei Darussalam</t>
  </si>
  <si>
    <t>Cambodia</t>
  </si>
  <si>
    <t>Indonesia</t>
  </si>
  <si>
    <t>Lao People's Democratic Republic</t>
  </si>
  <si>
    <t>Malaysia</t>
  </si>
  <si>
    <t>Myanmar</t>
  </si>
  <si>
    <t>Philippines</t>
  </si>
  <si>
    <t>Singapore</t>
  </si>
  <si>
    <t>Thailand</t>
  </si>
  <si>
    <t>Timor-Leste</t>
  </si>
  <si>
    <t>Viet Nam</t>
  </si>
  <si>
    <t>Europe and Northern America</t>
  </si>
  <si>
    <t>Northern America</t>
  </si>
  <si>
    <t>Bermuda</t>
  </si>
  <si>
    <t>Canada</t>
  </si>
  <si>
    <t>Greenland</t>
  </si>
  <si>
    <t>Saint Pierre and Miquelon</t>
  </si>
  <si>
    <t>United States of America</t>
  </si>
  <si>
    <t>Latin America and the Caribbean</t>
  </si>
  <si>
    <t>Caribbean</t>
  </si>
  <si>
    <t>Anguilla</t>
  </si>
  <si>
    <t>Antigua and Barbuda</t>
  </si>
  <si>
    <t>Aruba</t>
  </si>
  <si>
    <t>Bahamas</t>
  </si>
  <si>
    <t>Barbados</t>
  </si>
  <si>
    <t>British Virgin Islands</t>
  </si>
  <si>
    <t>Cayman Islands</t>
  </si>
  <si>
    <t>Cuba</t>
  </si>
  <si>
    <t>CuraÃ§ao</t>
  </si>
  <si>
    <t>Dominica</t>
  </si>
  <si>
    <t>Dominican Republic</t>
  </si>
  <si>
    <t>Grenada</t>
  </si>
  <si>
    <t>Guadeloupe</t>
  </si>
  <si>
    <t>Haiti</t>
  </si>
  <si>
    <t>Jamaica</t>
  </si>
  <si>
    <t>Martinique</t>
  </si>
  <si>
    <t>Montserrat</t>
  </si>
  <si>
    <t>Puerto Rico</t>
  </si>
  <si>
    <t>Saint BarthÃ©lemy</t>
  </si>
  <si>
    <t>Saint Kitts and Nevis</t>
  </si>
  <si>
    <t>Saint Lucia</t>
  </si>
  <si>
    <t>Saint Martin (French Part)</t>
  </si>
  <si>
    <t>Saint Vincent and the Grenadines</t>
  </si>
  <si>
    <t>Sint Maarten (Dutch part)</t>
  </si>
  <si>
    <t>Trinidad and Tobago</t>
  </si>
  <si>
    <t>Turks and Caicos Islands</t>
  </si>
  <si>
    <t>United States Virgin Islands</t>
  </si>
  <si>
    <t>Central America</t>
  </si>
  <si>
    <t>Belize</t>
  </si>
  <si>
    <t>Costa Rica</t>
  </si>
  <si>
    <t>El Salvador</t>
  </si>
  <si>
    <t>Guatemala</t>
  </si>
  <si>
    <t>Honduras</t>
  </si>
  <si>
    <t>Mexico</t>
  </si>
  <si>
    <t>Nicaragua</t>
  </si>
  <si>
    <t>Panama</t>
  </si>
  <si>
    <t>South America</t>
  </si>
  <si>
    <t>Argentina</t>
  </si>
  <si>
    <t>Bolivia (Plurinational State of)</t>
  </si>
  <si>
    <t>Brazil</t>
  </si>
  <si>
    <t>Chile</t>
  </si>
  <si>
    <t>Colombia</t>
  </si>
  <si>
    <t>Ecuador</t>
  </si>
  <si>
    <t>Falkland Islands (Malvinas)</t>
  </si>
  <si>
    <t>French Guiana</t>
  </si>
  <si>
    <t>Guyana</t>
  </si>
  <si>
    <t>Paraguay</t>
  </si>
  <si>
    <t>Peru</t>
  </si>
  <si>
    <t>Suriname</t>
  </si>
  <si>
    <t>Uruguay</t>
  </si>
  <si>
    <t>Venezuela (Bolivarian Republic of)</t>
  </si>
  <si>
    <t>Northern Africa and Western Asia</t>
  </si>
  <si>
    <t>Northern Africa</t>
  </si>
  <si>
    <t>Algeria</t>
  </si>
  <si>
    <t>Egypt</t>
  </si>
  <si>
    <t>Libya</t>
  </si>
  <si>
    <t>Morocco</t>
  </si>
  <si>
    <t>Sudan</t>
  </si>
  <si>
    <t>Tunisia</t>
  </si>
  <si>
    <t>Western Asia</t>
  </si>
  <si>
    <t>Armenia</t>
  </si>
  <si>
    <t>Azerbaijan</t>
  </si>
  <si>
    <t>Bahrain</t>
  </si>
  <si>
    <t>Cyprus</t>
  </si>
  <si>
    <t>Georgia</t>
  </si>
  <si>
    <t>Iraq</t>
  </si>
  <si>
    <t>Israel</t>
  </si>
  <si>
    <t>Jordan</t>
  </si>
  <si>
    <t>Kuwait</t>
  </si>
  <si>
    <t>Lebanon</t>
  </si>
  <si>
    <t>Oman</t>
  </si>
  <si>
    <t>Qatar</t>
  </si>
  <si>
    <t>Saudi Arabia</t>
  </si>
  <si>
    <t>State of Palestine</t>
  </si>
  <si>
    <t>Syrian Arab Republic</t>
  </si>
  <si>
    <t>TÃ¼rkiye</t>
  </si>
  <si>
    <t>United Arab Emirates</t>
  </si>
  <si>
    <t>Yemen</t>
  </si>
  <si>
    <t>Oceania</t>
  </si>
  <si>
    <t>Australia and New Zealand</t>
  </si>
  <si>
    <t>Australia</t>
  </si>
  <si>
    <t>New Zealand</t>
  </si>
  <si>
    <t>Melanesia</t>
  </si>
  <si>
    <t>Fiji</t>
  </si>
  <si>
    <t>New Caledonia</t>
  </si>
  <si>
    <t>Papua New Guinea</t>
  </si>
  <si>
    <t>Solomon Islands</t>
  </si>
  <si>
    <t>Vanuatu</t>
  </si>
  <si>
    <t>Micronesia</t>
  </si>
  <si>
    <t>Guam</t>
  </si>
  <si>
    <t>Kiribati</t>
  </si>
  <si>
    <t>Marshall Islands</t>
  </si>
  <si>
    <t>Micronesia (Federated States of)</t>
  </si>
  <si>
    <t>Nauru</t>
  </si>
  <si>
    <t>Northern Mariana Islands</t>
  </si>
  <si>
    <t>Palau</t>
  </si>
  <si>
    <t>Polynesia</t>
  </si>
  <si>
    <t>American Samoa</t>
  </si>
  <si>
    <t>Cook Islands</t>
  </si>
  <si>
    <t>French Polynesia</t>
  </si>
  <si>
    <t>Niue</t>
  </si>
  <si>
    <t>Samoa</t>
  </si>
  <si>
    <t>Tokelau</t>
  </si>
  <si>
    <t>Tonga</t>
  </si>
  <si>
    <t>Tuvalu</t>
  </si>
  <si>
    <t>Wallis and Futuna Islands</t>
  </si>
  <si>
    <t>Sub-Saharan Africa</t>
  </si>
  <si>
    <t>Eastern Africa</t>
  </si>
  <si>
    <t>Burundi</t>
  </si>
  <si>
    <t>Comoros</t>
  </si>
  <si>
    <t>Djibouti</t>
  </si>
  <si>
    <t>Eritrea</t>
  </si>
  <si>
    <t>Ethiopia</t>
  </si>
  <si>
    <t>Kenya</t>
  </si>
  <si>
    <t>Madagascar</t>
  </si>
  <si>
    <t>Malawi</t>
  </si>
  <si>
    <t>Mauritius</t>
  </si>
  <si>
    <t>Mayotte</t>
  </si>
  <si>
    <t>Mozambique</t>
  </si>
  <si>
    <t>Rwanda</t>
  </si>
  <si>
    <t>RÃ©union</t>
  </si>
  <si>
    <t>Seychelles</t>
  </si>
  <si>
    <t>Somalia</t>
  </si>
  <si>
    <t>South Sudan</t>
  </si>
  <si>
    <t>Uganda</t>
  </si>
  <si>
    <t>United Republic of Tanzania</t>
  </si>
  <si>
    <t>Zambia</t>
  </si>
  <si>
    <t>Zimbabwe</t>
  </si>
  <si>
    <t>Middle Africa</t>
  </si>
  <si>
    <t>Angola</t>
  </si>
  <si>
    <t>Cameroon</t>
  </si>
  <si>
    <t>Central African Republic</t>
  </si>
  <si>
    <t>Chad</t>
  </si>
  <si>
    <t>Congo</t>
  </si>
  <si>
    <t>Democratic Republic of the Congo</t>
  </si>
  <si>
    <t>Equatorial Guinea</t>
  </si>
  <si>
    <t>Gabon</t>
  </si>
  <si>
    <t>Sao Tome and Principe</t>
  </si>
  <si>
    <t>Southern Africa</t>
  </si>
  <si>
    <t>Botswana</t>
  </si>
  <si>
    <t>Eswatini</t>
  </si>
  <si>
    <t>Lesotho</t>
  </si>
  <si>
    <t>Namibia</t>
  </si>
  <si>
    <t>South Africa</t>
  </si>
  <si>
    <t>Western Africa</t>
  </si>
  <si>
    <t>Benin</t>
  </si>
  <si>
    <t>Burkina Faso</t>
  </si>
  <si>
    <t>Cabo Verde</t>
  </si>
  <si>
    <t>CÃ´te d'Ivoire</t>
  </si>
  <si>
    <t>Gambia</t>
  </si>
  <si>
    <t>Ghana</t>
  </si>
  <si>
    <t>Guinea</t>
  </si>
  <si>
    <t>Guinea-Bissau</t>
  </si>
  <si>
    <t>Liberia</t>
  </si>
  <si>
    <t>Mali</t>
  </si>
  <si>
    <t>Mauritania</t>
  </si>
  <si>
    <t>Niger</t>
  </si>
  <si>
    <t>Nigeria</t>
  </si>
  <si>
    <t>Saint Helena</t>
  </si>
  <si>
    <t>Senegal</t>
  </si>
  <si>
    <t>Sierra Leone</t>
  </si>
  <si>
    <t>Togo</t>
  </si>
  <si>
    <t>AVG</t>
  </si>
  <si>
    <t>MIN</t>
  </si>
  <si>
    <t>MAX</t>
  </si>
  <si>
    <t>MEDIAN</t>
  </si>
  <si>
    <t>Average of Pct_managed_drinking_water_services</t>
  </si>
  <si>
    <t>Average of Pct_managed_sanitation_services</t>
  </si>
  <si>
    <t>Average of Pct_unemployment</t>
  </si>
  <si>
    <t>Avg of Est_gdp_in_billions</t>
  </si>
  <si>
    <t>Avg of Pct_managed_sanitation_services</t>
  </si>
  <si>
    <t>Avg of Pct_unemployment</t>
  </si>
  <si>
    <t>Avg of Pct_managed_drinking_water_services</t>
  </si>
  <si>
    <t>Grand Avg</t>
  </si>
  <si>
    <t>Time Period</t>
  </si>
  <si>
    <t>Title</t>
  </si>
  <si>
    <t>TREND OVER TIME</t>
  </si>
  <si>
    <t>Q1</t>
  </si>
  <si>
    <t>Q3</t>
  </si>
  <si>
    <t>IQR</t>
  </si>
  <si>
    <t>Lower Bound</t>
  </si>
  <si>
    <t>Upper Bound</t>
  </si>
  <si>
    <t>Regional comparison chart</t>
  </si>
  <si>
    <t>Time trend line chart</t>
  </si>
  <si>
    <t>GDP vs  access to water scatter plot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</si>
</sst>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6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16" fillId="33" borderId="0" xfId="0" applyFont="1" applyFill="1"/>
    <xf numFmtId="0" fontId="16" fillId="0" borderId="0" xfId="0" applyFont="1" applyAlignment="1">
      <alignment horizontal="left"/>
    </xf>
    <xf numFmtId="0" fontId="0" fillId="0" borderId="0" xfId="0" applyNumberFormat="1"/>
    <xf numFmtId="0" fontId="0" fillId="0" borderId="0" xfId="0" applyAlignment="1">
      <alignment horizontal="center"/>
    </xf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Access_to_basic_services!$H$1</c:f>
              <c:strCache>
                <c:ptCount val="1"/>
                <c:pt idx="0">
                  <c:v>Est_gdp_in_billions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Access_to_basic_services!$E$2:$E$1055</c:f>
              <c:numCache>
                <c:formatCode>General</c:formatCode>
                <c:ptCount val="1054"/>
                <c:pt idx="0">
                  <c:v>38.33</c:v>
                </c:pt>
                <c:pt idx="1">
                  <c:v>39.33</c:v>
                </c:pt>
                <c:pt idx="2">
                  <c:v>40.67</c:v>
                </c:pt>
                <c:pt idx="3">
                  <c:v>41.33</c:v>
                </c:pt>
                <c:pt idx="4">
                  <c:v>42.67</c:v>
                </c:pt>
                <c:pt idx="5">
                  <c:v>44</c:v>
                </c:pt>
                <c:pt idx="6">
                  <c:v>45.33</c:v>
                </c:pt>
                <c:pt idx="7">
                  <c:v>45.67</c:v>
                </c:pt>
                <c:pt idx="8">
                  <c:v>46</c:v>
                </c:pt>
                <c:pt idx="9">
                  <c:v>46.33</c:v>
                </c:pt>
                <c:pt idx="10">
                  <c:v>46.67</c:v>
                </c:pt>
                <c:pt idx="11">
                  <c:v>46.67</c:v>
                </c:pt>
                <c:pt idx="12">
                  <c:v>47</c:v>
                </c:pt>
                <c:pt idx="13">
                  <c:v>47</c:v>
                </c:pt>
                <c:pt idx="14">
                  <c:v>47.67</c:v>
                </c:pt>
                <c:pt idx="15">
                  <c:v>47.67</c:v>
                </c:pt>
                <c:pt idx="16">
                  <c:v>48.33</c:v>
                </c:pt>
                <c:pt idx="17">
                  <c:v>48.33</c:v>
                </c:pt>
                <c:pt idx="18">
                  <c:v>50.33</c:v>
                </c:pt>
                <c:pt idx="19">
                  <c:v>50.67</c:v>
                </c:pt>
                <c:pt idx="20">
                  <c:v>51</c:v>
                </c:pt>
                <c:pt idx="21">
                  <c:v>51.33</c:v>
                </c:pt>
                <c:pt idx="22">
                  <c:v>51.67</c:v>
                </c:pt>
                <c:pt idx="23">
                  <c:v>52</c:v>
                </c:pt>
                <c:pt idx="24">
                  <c:v>52</c:v>
                </c:pt>
                <c:pt idx="25">
                  <c:v>52</c:v>
                </c:pt>
                <c:pt idx="26">
                  <c:v>52</c:v>
                </c:pt>
                <c:pt idx="27">
                  <c:v>52</c:v>
                </c:pt>
                <c:pt idx="28">
                  <c:v>52.33</c:v>
                </c:pt>
                <c:pt idx="29">
                  <c:v>52.33</c:v>
                </c:pt>
                <c:pt idx="30">
                  <c:v>52.33</c:v>
                </c:pt>
                <c:pt idx="31">
                  <c:v>52.33</c:v>
                </c:pt>
                <c:pt idx="32">
                  <c:v>52.67</c:v>
                </c:pt>
                <c:pt idx="33">
                  <c:v>53.33</c:v>
                </c:pt>
                <c:pt idx="34">
                  <c:v>53.33</c:v>
                </c:pt>
                <c:pt idx="35">
                  <c:v>53.33</c:v>
                </c:pt>
                <c:pt idx="36">
                  <c:v>53.33</c:v>
                </c:pt>
                <c:pt idx="37">
                  <c:v>53.67</c:v>
                </c:pt>
                <c:pt idx="38">
                  <c:v>54</c:v>
                </c:pt>
                <c:pt idx="39">
                  <c:v>54</c:v>
                </c:pt>
                <c:pt idx="40">
                  <c:v>54.33</c:v>
                </c:pt>
                <c:pt idx="41">
                  <c:v>54.33</c:v>
                </c:pt>
                <c:pt idx="42">
                  <c:v>54.67</c:v>
                </c:pt>
                <c:pt idx="43">
                  <c:v>54.67</c:v>
                </c:pt>
                <c:pt idx="44">
                  <c:v>54.67</c:v>
                </c:pt>
                <c:pt idx="45">
                  <c:v>55</c:v>
                </c:pt>
                <c:pt idx="46">
                  <c:v>55</c:v>
                </c:pt>
                <c:pt idx="47">
                  <c:v>55</c:v>
                </c:pt>
                <c:pt idx="48">
                  <c:v>55.33</c:v>
                </c:pt>
                <c:pt idx="49">
                  <c:v>55.67</c:v>
                </c:pt>
                <c:pt idx="50">
                  <c:v>55.67</c:v>
                </c:pt>
                <c:pt idx="51">
                  <c:v>55.67</c:v>
                </c:pt>
                <c:pt idx="52">
                  <c:v>55.67</c:v>
                </c:pt>
                <c:pt idx="53">
                  <c:v>56</c:v>
                </c:pt>
                <c:pt idx="54">
                  <c:v>56</c:v>
                </c:pt>
                <c:pt idx="55">
                  <c:v>56.33</c:v>
                </c:pt>
                <c:pt idx="56">
                  <c:v>56.33</c:v>
                </c:pt>
                <c:pt idx="57">
                  <c:v>56.33</c:v>
                </c:pt>
                <c:pt idx="58">
                  <c:v>56.33</c:v>
                </c:pt>
                <c:pt idx="59">
                  <c:v>56.33</c:v>
                </c:pt>
                <c:pt idx="60">
                  <c:v>56.67</c:v>
                </c:pt>
                <c:pt idx="61">
                  <c:v>56.67</c:v>
                </c:pt>
                <c:pt idx="62">
                  <c:v>56.67</c:v>
                </c:pt>
                <c:pt idx="63">
                  <c:v>57</c:v>
                </c:pt>
                <c:pt idx="64">
                  <c:v>57</c:v>
                </c:pt>
                <c:pt idx="65">
                  <c:v>57</c:v>
                </c:pt>
                <c:pt idx="66">
                  <c:v>57</c:v>
                </c:pt>
                <c:pt idx="67">
                  <c:v>57</c:v>
                </c:pt>
                <c:pt idx="68">
                  <c:v>57.33</c:v>
                </c:pt>
                <c:pt idx="69">
                  <c:v>57.33</c:v>
                </c:pt>
                <c:pt idx="70">
                  <c:v>57.33</c:v>
                </c:pt>
                <c:pt idx="71">
                  <c:v>57.67</c:v>
                </c:pt>
                <c:pt idx="72">
                  <c:v>57.67</c:v>
                </c:pt>
                <c:pt idx="73">
                  <c:v>58</c:v>
                </c:pt>
                <c:pt idx="74">
                  <c:v>58</c:v>
                </c:pt>
                <c:pt idx="75">
                  <c:v>58</c:v>
                </c:pt>
                <c:pt idx="76">
                  <c:v>58.33</c:v>
                </c:pt>
                <c:pt idx="77">
                  <c:v>58.67</c:v>
                </c:pt>
                <c:pt idx="78">
                  <c:v>59</c:v>
                </c:pt>
                <c:pt idx="79">
                  <c:v>59.33</c:v>
                </c:pt>
                <c:pt idx="80">
                  <c:v>59.67</c:v>
                </c:pt>
                <c:pt idx="81">
                  <c:v>60</c:v>
                </c:pt>
                <c:pt idx="82">
                  <c:v>60</c:v>
                </c:pt>
                <c:pt idx="83">
                  <c:v>60</c:v>
                </c:pt>
                <c:pt idx="84">
                  <c:v>60</c:v>
                </c:pt>
                <c:pt idx="85">
                  <c:v>60</c:v>
                </c:pt>
                <c:pt idx="86">
                  <c:v>60</c:v>
                </c:pt>
                <c:pt idx="87">
                  <c:v>60</c:v>
                </c:pt>
                <c:pt idx="88">
                  <c:v>60</c:v>
                </c:pt>
                <c:pt idx="89">
                  <c:v>60.33</c:v>
                </c:pt>
                <c:pt idx="90">
                  <c:v>60.33</c:v>
                </c:pt>
                <c:pt idx="91">
                  <c:v>60.67</c:v>
                </c:pt>
                <c:pt idx="92">
                  <c:v>61</c:v>
                </c:pt>
                <c:pt idx="93">
                  <c:v>61.33</c:v>
                </c:pt>
                <c:pt idx="94">
                  <c:v>61.33</c:v>
                </c:pt>
                <c:pt idx="95">
                  <c:v>61.67</c:v>
                </c:pt>
                <c:pt idx="96">
                  <c:v>61.67</c:v>
                </c:pt>
                <c:pt idx="97">
                  <c:v>62.33</c:v>
                </c:pt>
                <c:pt idx="98">
                  <c:v>62.33</c:v>
                </c:pt>
                <c:pt idx="99">
                  <c:v>62.33</c:v>
                </c:pt>
                <c:pt idx="100">
                  <c:v>62.33</c:v>
                </c:pt>
                <c:pt idx="101">
                  <c:v>62.33</c:v>
                </c:pt>
                <c:pt idx="102">
                  <c:v>62.33</c:v>
                </c:pt>
                <c:pt idx="103">
                  <c:v>62.33</c:v>
                </c:pt>
                <c:pt idx="104">
                  <c:v>62.67</c:v>
                </c:pt>
                <c:pt idx="105">
                  <c:v>62.67</c:v>
                </c:pt>
                <c:pt idx="106">
                  <c:v>62.67</c:v>
                </c:pt>
                <c:pt idx="107">
                  <c:v>63</c:v>
                </c:pt>
                <c:pt idx="108">
                  <c:v>63</c:v>
                </c:pt>
                <c:pt idx="109">
                  <c:v>63.33</c:v>
                </c:pt>
                <c:pt idx="110">
                  <c:v>63.33</c:v>
                </c:pt>
                <c:pt idx="111">
                  <c:v>63.33</c:v>
                </c:pt>
                <c:pt idx="112">
                  <c:v>63.33</c:v>
                </c:pt>
                <c:pt idx="113">
                  <c:v>63.67</c:v>
                </c:pt>
                <c:pt idx="114">
                  <c:v>64</c:v>
                </c:pt>
                <c:pt idx="115">
                  <c:v>64</c:v>
                </c:pt>
                <c:pt idx="116">
                  <c:v>64</c:v>
                </c:pt>
                <c:pt idx="117">
                  <c:v>64</c:v>
                </c:pt>
                <c:pt idx="118">
                  <c:v>64.33</c:v>
                </c:pt>
                <c:pt idx="119">
                  <c:v>64.33</c:v>
                </c:pt>
                <c:pt idx="120">
                  <c:v>64.33</c:v>
                </c:pt>
                <c:pt idx="121">
                  <c:v>64.33</c:v>
                </c:pt>
                <c:pt idx="122">
                  <c:v>64.33</c:v>
                </c:pt>
                <c:pt idx="123">
                  <c:v>64.67</c:v>
                </c:pt>
                <c:pt idx="124">
                  <c:v>64.67</c:v>
                </c:pt>
                <c:pt idx="125">
                  <c:v>64.67</c:v>
                </c:pt>
                <c:pt idx="126">
                  <c:v>64.67</c:v>
                </c:pt>
                <c:pt idx="127">
                  <c:v>65</c:v>
                </c:pt>
                <c:pt idx="128">
                  <c:v>65</c:v>
                </c:pt>
                <c:pt idx="129">
                  <c:v>65</c:v>
                </c:pt>
                <c:pt idx="130">
                  <c:v>65</c:v>
                </c:pt>
                <c:pt idx="131">
                  <c:v>65</c:v>
                </c:pt>
                <c:pt idx="132">
                  <c:v>65.33</c:v>
                </c:pt>
                <c:pt idx="133">
                  <c:v>65.33</c:v>
                </c:pt>
                <c:pt idx="134">
                  <c:v>65.33</c:v>
                </c:pt>
                <c:pt idx="135">
                  <c:v>65.33</c:v>
                </c:pt>
                <c:pt idx="136">
                  <c:v>65.33</c:v>
                </c:pt>
                <c:pt idx="137">
                  <c:v>65.33</c:v>
                </c:pt>
                <c:pt idx="138">
                  <c:v>65.67</c:v>
                </c:pt>
                <c:pt idx="139">
                  <c:v>65.67</c:v>
                </c:pt>
                <c:pt idx="140">
                  <c:v>65.67</c:v>
                </c:pt>
                <c:pt idx="141">
                  <c:v>65.67</c:v>
                </c:pt>
                <c:pt idx="142">
                  <c:v>66.33</c:v>
                </c:pt>
                <c:pt idx="143">
                  <c:v>66.33</c:v>
                </c:pt>
                <c:pt idx="144">
                  <c:v>66.33</c:v>
                </c:pt>
                <c:pt idx="145">
                  <c:v>66.33</c:v>
                </c:pt>
                <c:pt idx="146">
                  <c:v>66.33</c:v>
                </c:pt>
                <c:pt idx="147">
                  <c:v>66.33</c:v>
                </c:pt>
                <c:pt idx="148">
                  <c:v>66.67</c:v>
                </c:pt>
                <c:pt idx="149">
                  <c:v>66.67</c:v>
                </c:pt>
                <c:pt idx="150">
                  <c:v>66.67</c:v>
                </c:pt>
                <c:pt idx="151">
                  <c:v>67</c:v>
                </c:pt>
                <c:pt idx="152">
                  <c:v>67</c:v>
                </c:pt>
                <c:pt idx="153">
                  <c:v>67</c:v>
                </c:pt>
                <c:pt idx="154">
                  <c:v>67</c:v>
                </c:pt>
                <c:pt idx="155">
                  <c:v>67</c:v>
                </c:pt>
                <c:pt idx="156">
                  <c:v>67</c:v>
                </c:pt>
                <c:pt idx="157">
                  <c:v>67.33</c:v>
                </c:pt>
                <c:pt idx="158">
                  <c:v>67.33</c:v>
                </c:pt>
                <c:pt idx="159">
                  <c:v>67.33</c:v>
                </c:pt>
                <c:pt idx="160">
                  <c:v>67.67</c:v>
                </c:pt>
                <c:pt idx="161">
                  <c:v>68</c:v>
                </c:pt>
                <c:pt idx="162">
                  <c:v>68.33</c:v>
                </c:pt>
                <c:pt idx="163">
                  <c:v>68.33</c:v>
                </c:pt>
                <c:pt idx="164">
                  <c:v>68.33</c:v>
                </c:pt>
                <c:pt idx="165">
                  <c:v>68.33</c:v>
                </c:pt>
                <c:pt idx="166">
                  <c:v>68.33</c:v>
                </c:pt>
                <c:pt idx="167">
                  <c:v>68.67</c:v>
                </c:pt>
                <c:pt idx="168">
                  <c:v>68.67</c:v>
                </c:pt>
                <c:pt idx="169">
                  <c:v>68.67</c:v>
                </c:pt>
                <c:pt idx="170">
                  <c:v>69</c:v>
                </c:pt>
                <c:pt idx="171">
                  <c:v>69</c:v>
                </c:pt>
                <c:pt idx="172">
                  <c:v>69</c:v>
                </c:pt>
                <c:pt idx="173">
                  <c:v>69</c:v>
                </c:pt>
                <c:pt idx="174">
                  <c:v>69</c:v>
                </c:pt>
                <c:pt idx="175">
                  <c:v>69</c:v>
                </c:pt>
                <c:pt idx="176">
                  <c:v>69.33</c:v>
                </c:pt>
                <c:pt idx="177">
                  <c:v>69.33</c:v>
                </c:pt>
                <c:pt idx="178">
                  <c:v>69.33</c:v>
                </c:pt>
                <c:pt idx="179">
                  <c:v>69.33</c:v>
                </c:pt>
                <c:pt idx="180">
                  <c:v>69.33</c:v>
                </c:pt>
                <c:pt idx="181">
                  <c:v>69.33</c:v>
                </c:pt>
                <c:pt idx="182">
                  <c:v>69.33</c:v>
                </c:pt>
                <c:pt idx="183">
                  <c:v>69.67</c:v>
                </c:pt>
                <c:pt idx="184">
                  <c:v>69.67</c:v>
                </c:pt>
                <c:pt idx="185">
                  <c:v>70</c:v>
                </c:pt>
                <c:pt idx="186">
                  <c:v>70</c:v>
                </c:pt>
                <c:pt idx="187">
                  <c:v>70</c:v>
                </c:pt>
                <c:pt idx="188">
                  <c:v>70</c:v>
                </c:pt>
                <c:pt idx="189">
                  <c:v>70.33</c:v>
                </c:pt>
                <c:pt idx="190">
                  <c:v>70.33</c:v>
                </c:pt>
                <c:pt idx="191">
                  <c:v>70.33</c:v>
                </c:pt>
                <c:pt idx="192">
                  <c:v>70.33</c:v>
                </c:pt>
                <c:pt idx="193">
                  <c:v>70.67</c:v>
                </c:pt>
                <c:pt idx="194">
                  <c:v>70.67</c:v>
                </c:pt>
                <c:pt idx="195">
                  <c:v>70.67</c:v>
                </c:pt>
                <c:pt idx="196">
                  <c:v>71</c:v>
                </c:pt>
                <c:pt idx="197">
                  <c:v>71</c:v>
                </c:pt>
                <c:pt idx="198">
                  <c:v>71</c:v>
                </c:pt>
                <c:pt idx="199">
                  <c:v>71</c:v>
                </c:pt>
                <c:pt idx="200">
                  <c:v>71.33</c:v>
                </c:pt>
                <c:pt idx="201">
                  <c:v>71.33</c:v>
                </c:pt>
                <c:pt idx="202">
                  <c:v>72</c:v>
                </c:pt>
                <c:pt idx="203">
                  <c:v>72</c:v>
                </c:pt>
                <c:pt idx="204">
                  <c:v>72.33</c:v>
                </c:pt>
                <c:pt idx="205">
                  <c:v>72.33</c:v>
                </c:pt>
                <c:pt idx="206">
                  <c:v>72.33</c:v>
                </c:pt>
                <c:pt idx="207">
                  <c:v>72.33</c:v>
                </c:pt>
                <c:pt idx="208">
                  <c:v>72.33</c:v>
                </c:pt>
                <c:pt idx="209">
                  <c:v>72.33</c:v>
                </c:pt>
                <c:pt idx="210">
                  <c:v>72.67</c:v>
                </c:pt>
                <c:pt idx="211">
                  <c:v>72.67</c:v>
                </c:pt>
                <c:pt idx="212">
                  <c:v>73</c:v>
                </c:pt>
                <c:pt idx="213">
                  <c:v>73</c:v>
                </c:pt>
                <c:pt idx="214">
                  <c:v>73</c:v>
                </c:pt>
                <c:pt idx="215">
                  <c:v>73.33</c:v>
                </c:pt>
                <c:pt idx="216">
                  <c:v>73.33</c:v>
                </c:pt>
                <c:pt idx="217">
                  <c:v>73.33</c:v>
                </c:pt>
                <c:pt idx="218">
                  <c:v>73.33</c:v>
                </c:pt>
                <c:pt idx="219">
                  <c:v>73.33</c:v>
                </c:pt>
                <c:pt idx="220">
                  <c:v>73.33</c:v>
                </c:pt>
                <c:pt idx="221">
                  <c:v>73.67</c:v>
                </c:pt>
                <c:pt idx="222">
                  <c:v>73.67</c:v>
                </c:pt>
                <c:pt idx="223">
                  <c:v>73.67</c:v>
                </c:pt>
                <c:pt idx="224">
                  <c:v>74</c:v>
                </c:pt>
                <c:pt idx="225">
                  <c:v>74</c:v>
                </c:pt>
                <c:pt idx="226">
                  <c:v>74</c:v>
                </c:pt>
                <c:pt idx="227">
                  <c:v>74</c:v>
                </c:pt>
                <c:pt idx="228">
                  <c:v>74</c:v>
                </c:pt>
                <c:pt idx="229">
                  <c:v>74.33</c:v>
                </c:pt>
                <c:pt idx="230">
                  <c:v>74.33</c:v>
                </c:pt>
                <c:pt idx="231">
                  <c:v>74.33</c:v>
                </c:pt>
                <c:pt idx="232">
                  <c:v>74.33</c:v>
                </c:pt>
                <c:pt idx="233">
                  <c:v>74.67</c:v>
                </c:pt>
                <c:pt idx="234">
                  <c:v>74.67</c:v>
                </c:pt>
                <c:pt idx="235">
                  <c:v>75</c:v>
                </c:pt>
                <c:pt idx="236">
                  <c:v>75</c:v>
                </c:pt>
                <c:pt idx="237">
                  <c:v>75</c:v>
                </c:pt>
                <c:pt idx="238">
                  <c:v>75</c:v>
                </c:pt>
                <c:pt idx="239">
                  <c:v>75</c:v>
                </c:pt>
                <c:pt idx="240">
                  <c:v>75.33</c:v>
                </c:pt>
                <c:pt idx="241">
                  <c:v>75.33</c:v>
                </c:pt>
                <c:pt idx="242">
                  <c:v>75.33</c:v>
                </c:pt>
                <c:pt idx="243">
                  <c:v>75.33</c:v>
                </c:pt>
                <c:pt idx="244">
                  <c:v>75.33</c:v>
                </c:pt>
                <c:pt idx="245">
                  <c:v>75.67</c:v>
                </c:pt>
                <c:pt idx="246">
                  <c:v>75.67</c:v>
                </c:pt>
                <c:pt idx="247">
                  <c:v>75.67</c:v>
                </c:pt>
                <c:pt idx="248">
                  <c:v>76</c:v>
                </c:pt>
                <c:pt idx="249">
                  <c:v>76</c:v>
                </c:pt>
                <c:pt idx="250">
                  <c:v>76</c:v>
                </c:pt>
                <c:pt idx="251">
                  <c:v>76</c:v>
                </c:pt>
                <c:pt idx="252">
                  <c:v>76</c:v>
                </c:pt>
                <c:pt idx="253">
                  <c:v>76.33</c:v>
                </c:pt>
                <c:pt idx="254">
                  <c:v>76.33</c:v>
                </c:pt>
                <c:pt idx="255">
                  <c:v>76.67</c:v>
                </c:pt>
                <c:pt idx="256">
                  <c:v>76.67</c:v>
                </c:pt>
                <c:pt idx="257">
                  <c:v>76.67</c:v>
                </c:pt>
                <c:pt idx="258">
                  <c:v>77</c:v>
                </c:pt>
                <c:pt idx="259">
                  <c:v>77</c:v>
                </c:pt>
                <c:pt idx="260">
                  <c:v>77</c:v>
                </c:pt>
                <c:pt idx="261">
                  <c:v>77</c:v>
                </c:pt>
                <c:pt idx="262">
                  <c:v>77.33</c:v>
                </c:pt>
                <c:pt idx="263">
                  <c:v>77.33</c:v>
                </c:pt>
                <c:pt idx="264">
                  <c:v>77.33</c:v>
                </c:pt>
                <c:pt idx="265">
                  <c:v>77.67</c:v>
                </c:pt>
                <c:pt idx="266">
                  <c:v>78</c:v>
                </c:pt>
                <c:pt idx="267">
                  <c:v>78</c:v>
                </c:pt>
                <c:pt idx="268">
                  <c:v>78</c:v>
                </c:pt>
                <c:pt idx="269">
                  <c:v>78</c:v>
                </c:pt>
                <c:pt idx="270">
                  <c:v>78.33</c:v>
                </c:pt>
                <c:pt idx="271">
                  <c:v>78.33</c:v>
                </c:pt>
                <c:pt idx="272">
                  <c:v>78.67</c:v>
                </c:pt>
                <c:pt idx="273">
                  <c:v>78.67</c:v>
                </c:pt>
                <c:pt idx="274">
                  <c:v>79</c:v>
                </c:pt>
                <c:pt idx="275">
                  <c:v>79</c:v>
                </c:pt>
                <c:pt idx="276">
                  <c:v>79</c:v>
                </c:pt>
                <c:pt idx="277">
                  <c:v>79.33</c:v>
                </c:pt>
                <c:pt idx="278">
                  <c:v>79.33</c:v>
                </c:pt>
                <c:pt idx="279">
                  <c:v>79.33</c:v>
                </c:pt>
                <c:pt idx="280">
                  <c:v>79.33</c:v>
                </c:pt>
                <c:pt idx="281">
                  <c:v>79.33</c:v>
                </c:pt>
                <c:pt idx="282">
                  <c:v>79.33</c:v>
                </c:pt>
                <c:pt idx="283">
                  <c:v>79.33</c:v>
                </c:pt>
                <c:pt idx="284">
                  <c:v>79.33</c:v>
                </c:pt>
                <c:pt idx="285">
                  <c:v>79.67</c:v>
                </c:pt>
                <c:pt idx="286">
                  <c:v>79.67</c:v>
                </c:pt>
                <c:pt idx="287">
                  <c:v>80</c:v>
                </c:pt>
                <c:pt idx="288">
                  <c:v>80.33</c:v>
                </c:pt>
                <c:pt idx="289">
                  <c:v>80.33</c:v>
                </c:pt>
                <c:pt idx="290">
                  <c:v>80.33</c:v>
                </c:pt>
                <c:pt idx="291">
                  <c:v>80.33</c:v>
                </c:pt>
                <c:pt idx="292">
                  <c:v>80.67</c:v>
                </c:pt>
                <c:pt idx="293">
                  <c:v>80.67</c:v>
                </c:pt>
                <c:pt idx="294">
                  <c:v>80.67</c:v>
                </c:pt>
                <c:pt idx="295">
                  <c:v>81</c:v>
                </c:pt>
                <c:pt idx="296">
                  <c:v>81.33</c:v>
                </c:pt>
                <c:pt idx="297">
                  <c:v>81.33</c:v>
                </c:pt>
                <c:pt idx="298">
                  <c:v>81.33</c:v>
                </c:pt>
                <c:pt idx="299">
                  <c:v>81.67</c:v>
                </c:pt>
                <c:pt idx="300">
                  <c:v>81.67</c:v>
                </c:pt>
                <c:pt idx="301">
                  <c:v>81.67</c:v>
                </c:pt>
                <c:pt idx="302">
                  <c:v>81.67</c:v>
                </c:pt>
                <c:pt idx="303">
                  <c:v>81.67</c:v>
                </c:pt>
                <c:pt idx="304">
                  <c:v>81.67</c:v>
                </c:pt>
                <c:pt idx="305">
                  <c:v>82</c:v>
                </c:pt>
                <c:pt idx="306">
                  <c:v>82</c:v>
                </c:pt>
                <c:pt idx="307">
                  <c:v>82.33</c:v>
                </c:pt>
                <c:pt idx="308">
                  <c:v>82.33</c:v>
                </c:pt>
                <c:pt idx="309">
                  <c:v>82.33</c:v>
                </c:pt>
                <c:pt idx="310">
                  <c:v>82.67</c:v>
                </c:pt>
                <c:pt idx="311">
                  <c:v>82.67</c:v>
                </c:pt>
                <c:pt idx="312">
                  <c:v>83</c:v>
                </c:pt>
                <c:pt idx="313">
                  <c:v>83</c:v>
                </c:pt>
                <c:pt idx="314">
                  <c:v>83.33</c:v>
                </c:pt>
                <c:pt idx="315">
                  <c:v>83.33</c:v>
                </c:pt>
                <c:pt idx="316">
                  <c:v>83.33</c:v>
                </c:pt>
                <c:pt idx="317">
                  <c:v>83.33</c:v>
                </c:pt>
                <c:pt idx="318">
                  <c:v>83.33</c:v>
                </c:pt>
                <c:pt idx="319">
                  <c:v>83.67</c:v>
                </c:pt>
                <c:pt idx="320">
                  <c:v>83.67</c:v>
                </c:pt>
                <c:pt idx="321">
                  <c:v>83.67</c:v>
                </c:pt>
                <c:pt idx="322">
                  <c:v>83.67</c:v>
                </c:pt>
                <c:pt idx="323">
                  <c:v>83.67</c:v>
                </c:pt>
                <c:pt idx="324">
                  <c:v>84</c:v>
                </c:pt>
                <c:pt idx="325">
                  <c:v>84</c:v>
                </c:pt>
                <c:pt idx="326">
                  <c:v>84</c:v>
                </c:pt>
                <c:pt idx="327">
                  <c:v>84.33</c:v>
                </c:pt>
                <c:pt idx="328">
                  <c:v>84.33</c:v>
                </c:pt>
                <c:pt idx="329">
                  <c:v>84.67</c:v>
                </c:pt>
                <c:pt idx="330">
                  <c:v>85</c:v>
                </c:pt>
                <c:pt idx="331">
                  <c:v>85</c:v>
                </c:pt>
                <c:pt idx="332">
                  <c:v>85</c:v>
                </c:pt>
                <c:pt idx="333">
                  <c:v>85</c:v>
                </c:pt>
                <c:pt idx="334">
                  <c:v>85.33</c:v>
                </c:pt>
                <c:pt idx="335">
                  <c:v>85.67</c:v>
                </c:pt>
                <c:pt idx="336">
                  <c:v>85.67</c:v>
                </c:pt>
                <c:pt idx="337">
                  <c:v>85.67</c:v>
                </c:pt>
                <c:pt idx="338">
                  <c:v>86</c:v>
                </c:pt>
                <c:pt idx="339">
                  <c:v>86</c:v>
                </c:pt>
                <c:pt idx="340">
                  <c:v>86</c:v>
                </c:pt>
                <c:pt idx="341">
                  <c:v>86</c:v>
                </c:pt>
                <c:pt idx="342">
                  <c:v>86.67</c:v>
                </c:pt>
                <c:pt idx="343">
                  <c:v>86.67</c:v>
                </c:pt>
                <c:pt idx="344">
                  <c:v>86.67</c:v>
                </c:pt>
                <c:pt idx="345">
                  <c:v>86.67</c:v>
                </c:pt>
                <c:pt idx="346">
                  <c:v>86.67</c:v>
                </c:pt>
                <c:pt idx="347">
                  <c:v>86.67</c:v>
                </c:pt>
                <c:pt idx="348">
                  <c:v>87</c:v>
                </c:pt>
                <c:pt idx="349">
                  <c:v>87</c:v>
                </c:pt>
                <c:pt idx="350">
                  <c:v>87.33</c:v>
                </c:pt>
                <c:pt idx="351">
                  <c:v>87.33</c:v>
                </c:pt>
                <c:pt idx="352">
                  <c:v>87.33</c:v>
                </c:pt>
                <c:pt idx="353">
                  <c:v>87.33</c:v>
                </c:pt>
                <c:pt idx="354">
                  <c:v>87.67</c:v>
                </c:pt>
                <c:pt idx="355">
                  <c:v>87.67</c:v>
                </c:pt>
                <c:pt idx="356">
                  <c:v>87.67</c:v>
                </c:pt>
                <c:pt idx="357">
                  <c:v>87.67</c:v>
                </c:pt>
                <c:pt idx="358">
                  <c:v>88</c:v>
                </c:pt>
                <c:pt idx="359">
                  <c:v>88</c:v>
                </c:pt>
                <c:pt idx="360">
                  <c:v>88</c:v>
                </c:pt>
                <c:pt idx="361">
                  <c:v>88</c:v>
                </c:pt>
                <c:pt idx="362">
                  <c:v>88</c:v>
                </c:pt>
                <c:pt idx="363">
                  <c:v>88</c:v>
                </c:pt>
                <c:pt idx="364">
                  <c:v>88.33</c:v>
                </c:pt>
                <c:pt idx="365">
                  <c:v>88.33</c:v>
                </c:pt>
                <c:pt idx="366">
                  <c:v>88.33</c:v>
                </c:pt>
                <c:pt idx="367">
                  <c:v>88.33</c:v>
                </c:pt>
                <c:pt idx="368">
                  <c:v>88.67</c:v>
                </c:pt>
                <c:pt idx="369">
                  <c:v>88.67</c:v>
                </c:pt>
                <c:pt idx="370">
                  <c:v>89</c:v>
                </c:pt>
                <c:pt idx="371">
                  <c:v>89</c:v>
                </c:pt>
                <c:pt idx="372">
                  <c:v>89</c:v>
                </c:pt>
                <c:pt idx="373">
                  <c:v>89</c:v>
                </c:pt>
                <c:pt idx="374">
                  <c:v>89.33</c:v>
                </c:pt>
                <c:pt idx="375">
                  <c:v>89.33</c:v>
                </c:pt>
                <c:pt idx="376">
                  <c:v>89.33</c:v>
                </c:pt>
                <c:pt idx="377">
                  <c:v>89.33</c:v>
                </c:pt>
                <c:pt idx="378">
                  <c:v>89.67</c:v>
                </c:pt>
                <c:pt idx="379">
                  <c:v>89.67</c:v>
                </c:pt>
                <c:pt idx="380">
                  <c:v>89.67</c:v>
                </c:pt>
                <c:pt idx="381">
                  <c:v>89.67</c:v>
                </c:pt>
                <c:pt idx="382">
                  <c:v>89.67</c:v>
                </c:pt>
                <c:pt idx="383">
                  <c:v>89.67</c:v>
                </c:pt>
                <c:pt idx="384">
                  <c:v>89.67</c:v>
                </c:pt>
                <c:pt idx="385">
                  <c:v>90</c:v>
                </c:pt>
                <c:pt idx="386">
                  <c:v>90</c:v>
                </c:pt>
                <c:pt idx="387">
                  <c:v>90</c:v>
                </c:pt>
                <c:pt idx="388">
                  <c:v>90</c:v>
                </c:pt>
                <c:pt idx="389">
                  <c:v>90</c:v>
                </c:pt>
                <c:pt idx="390">
                  <c:v>90</c:v>
                </c:pt>
                <c:pt idx="391">
                  <c:v>90</c:v>
                </c:pt>
                <c:pt idx="392">
                  <c:v>90</c:v>
                </c:pt>
                <c:pt idx="393">
                  <c:v>90</c:v>
                </c:pt>
                <c:pt idx="394">
                  <c:v>90</c:v>
                </c:pt>
                <c:pt idx="395">
                  <c:v>90.33</c:v>
                </c:pt>
                <c:pt idx="396">
                  <c:v>90.33</c:v>
                </c:pt>
                <c:pt idx="397">
                  <c:v>90.33</c:v>
                </c:pt>
                <c:pt idx="398">
                  <c:v>90.33</c:v>
                </c:pt>
                <c:pt idx="399">
                  <c:v>90.33</c:v>
                </c:pt>
                <c:pt idx="400">
                  <c:v>90.33</c:v>
                </c:pt>
                <c:pt idx="401">
                  <c:v>90.33</c:v>
                </c:pt>
                <c:pt idx="402">
                  <c:v>90.33</c:v>
                </c:pt>
                <c:pt idx="403">
                  <c:v>90.33</c:v>
                </c:pt>
                <c:pt idx="404">
                  <c:v>90.33</c:v>
                </c:pt>
                <c:pt idx="405">
                  <c:v>90.33</c:v>
                </c:pt>
                <c:pt idx="406">
                  <c:v>90.33</c:v>
                </c:pt>
                <c:pt idx="407">
                  <c:v>90.33</c:v>
                </c:pt>
                <c:pt idx="408">
                  <c:v>90.67</c:v>
                </c:pt>
                <c:pt idx="409">
                  <c:v>90.67</c:v>
                </c:pt>
                <c:pt idx="410">
                  <c:v>90.67</c:v>
                </c:pt>
                <c:pt idx="411">
                  <c:v>90.67</c:v>
                </c:pt>
                <c:pt idx="412">
                  <c:v>91</c:v>
                </c:pt>
                <c:pt idx="413">
                  <c:v>91</c:v>
                </c:pt>
                <c:pt idx="414">
                  <c:v>91</c:v>
                </c:pt>
                <c:pt idx="415">
                  <c:v>91</c:v>
                </c:pt>
                <c:pt idx="416">
                  <c:v>91</c:v>
                </c:pt>
                <c:pt idx="417">
                  <c:v>91</c:v>
                </c:pt>
                <c:pt idx="418">
                  <c:v>91</c:v>
                </c:pt>
                <c:pt idx="419">
                  <c:v>91</c:v>
                </c:pt>
                <c:pt idx="420">
                  <c:v>91</c:v>
                </c:pt>
                <c:pt idx="421">
                  <c:v>91</c:v>
                </c:pt>
                <c:pt idx="422">
                  <c:v>91</c:v>
                </c:pt>
                <c:pt idx="423">
                  <c:v>91</c:v>
                </c:pt>
                <c:pt idx="424">
                  <c:v>91</c:v>
                </c:pt>
                <c:pt idx="425">
                  <c:v>91</c:v>
                </c:pt>
                <c:pt idx="426">
                  <c:v>91</c:v>
                </c:pt>
                <c:pt idx="427">
                  <c:v>91</c:v>
                </c:pt>
                <c:pt idx="428">
                  <c:v>91</c:v>
                </c:pt>
                <c:pt idx="429">
                  <c:v>91.33</c:v>
                </c:pt>
                <c:pt idx="430">
                  <c:v>91.33</c:v>
                </c:pt>
                <c:pt idx="431">
                  <c:v>91.33</c:v>
                </c:pt>
                <c:pt idx="432">
                  <c:v>91.33</c:v>
                </c:pt>
                <c:pt idx="433">
                  <c:v>91.33</c:v>
                </c:pt>
                <c:pt idx="434">
                  <c:v>91.67</c:v>
                </c:pt>
                <c:pt idx="435">
                  <c:v>91.67</c:v>
                </c:pt>
                <c:pt idx="436">
                  <c:v>91.67</c:v>
                </c:pt>
                <c:pt idx="437">
                  <c:v>91.67</c:v>
                </c:pt>
                <c:pt idx="438">
                  <c:v>91.67</c:v>
                </c:pt>
                <c:pt idx="439">
                  <c:v>91.67</c:v>
                </c:pt>
                <c:pt idx="440">
                  <c:v>92</c:v>
                </c:pt>
                <c:pt idx="441">
                  <c:v>92</c:v>
                </c:pt>
                <c:pt idx="442">
                  <c:v>92</c:v>
                </c:pt>
                <c:pt idx="443">
                  <c:v>92</c:v>
                </c:pt>
                <c:pt idx="444">
                  <c:v>92</c:v>
                </c:pt>
                <c:pt idx="445">
                  <c:v>92</c:v>
                </c:pt>
                <c:pt idx="446">
                  <c:v>92</c:v>
                </c:pt>
                <c:pt idx="447">
                  <c:v>92</c:v>
                </c:pt>
                <c:pt idx="448">
                  <c:v>92</c:v>
                </c:pt>
                <c:pt idx="449">
                  <c:v>92</c:v>
                </c:pt>
                <c:pt idx="450">
                  <c:v>92</c:v>
                </c:pt>
                <c:pt idx="451">
                  <c:v>92</c:v>
                </c:pt>
                <c:pt idx="452">
                  <c:v>92</c:v>
                </c:pt>
                <c:pt idx="453">
                  <c:v>92</c:v>
                </c:pt>
                <c:pt idx="454">
                  <c:v>92</c:v>
                </c:pt>
                <c:pt idx="455">
                  <c:v>92</c:v>
                </c:pt>
                <c:pt idx="456">
                  <c:v>92.33</c:v>
                </c:pt>
                <c:pt idx="457">
                  <c:v>92.33</c:v>
                </c:pt>
                <c:pt idx="458">
                  <c:v>92.33</c:v>
                </c:pt>
                <c:pt idx="459">
                  <c:v>92.33</c:v>
                </c:pt>
                <c:pt idx="460">
                  <c:v>92.33</c:v>
                </c:pt>
                <c:pt idx="461">
                  <c:v>92.33</c:v>
                </c:pt>
                <c:pt idx="462">
                  <c:v>92.67</c:v>
                </c:pt>
                <c:pt idx="463">
                  <c:v>92.67</c:v>
                </c:pt>
                <c:pt idx="464">
                  <c:v>92.67</c:v>
                </c:pt>
                <c:pt idx="465">
                  <c:v>92.67</c:v>
                </c:pt>
                <c:pt idx="466">
                  <c:v>92.67</c:v>
                </c:pt>
                <c:pt idx="467">
                  <c:v>92.67</c:v>
                </c:pt>
                <c:pt idx="468">
                  <c:v>92.67</c:v>
                </c:pt>
                <c:pt idx="469">
                  <c:v>92.67</c:v>
                </c:pt>
                <c:pt idx="470">
                  <c:v>92.67</c:v>
                </c:pt>
                <c:pt idx="471">
                  <c:v>93</c:v>
                </c:pt>
                <c:pt idx="472">
                  <c:v>93</c:v>
                </c:pt>
                <c:pt idx="473">
                  <c:v>93</c:v>
                </c:pt>
                <c:pt idx="474">
                  <c:v>93</c:v>
                </c:pt>
                <c:pt idx="475">
                  <c:v>93</c:v>
                </c:pt>
                <c:pt idx="476">
                  <c:v>93</c:v>
                </c:pt>
                <c:pt idx="477">
                  <c:v>93</c:v>
                </c:pt>
                <c:pt idx="478">
                  <c:v>93</c:v>
                </c:pt>
                <c:pt idx="479">
                  <c:v>93</c:v>
                </c:pt>
                <c:pt idx="480">
                  <c:v>93</c:v>
                </c:pt>
                <c:pt idx="481">
                  <c:v>93</c:v>
                </c:pt>
                <c:pt idx="482">
                  <c:v>93</c:v>
                </c:pt>
                <c:pt idx="483">
                  <c:v>93</c:v>
                </c:pt>
                <c:pt idx="484">
                  <c:v>93.33</c:v>
                </c:pt>
                <c:pt idx="485">
                  <c:v>93.33</c:v>
                </c:pt>
                <c:pt idx="486">
                  <c:v>93.33</c:v>
                </c:pt>
                <c:pt idx="487">
                  <c:v>93.33</c:v>
                </c:pt>
                <c:pt idx="488">
                  <c:v>93.33</c:v>
                </c:pt>
                <c:pt idx="489">
                  <c:v>93.33</c:v>
                </c:pt>
                <c:pt idx="490">
                  <c:v>93.33</c:v>
                </c:pt>
                <c:pt idx="491">
                  <c:v>93.33</c:v>
                </c:pt>
                <c:pt idx="492">
                  <c:v>93.33</c:v>
                </c:pt>
                <c:pt idx="493">
                  <c:v>93.33</c:v>
                </c:pt>
                <c:pt idx="494">
                  <c:v>93.33</c:v>
                </c:pt>
                <c:pt idx="495">
                  <c:v>93.67</c:v>
                </c:pt>
                <c:pt idx="496">
                  <c:v>93.67</c:v>
                </c:pt>
                <c:pt idx="497">
                  <c:v>93.67</c:v>
                </c:pt>
                <c:pt idx="498">
                  <c:v>93.67</c:v>
                </c:pt>
                <c:pt idx="499">
                  <c:v>93.67</c:v>
                </c:pt>
                <c:pt idx="500">
                  <c:v>93.67</c:v>
                </c:pt>
                <c:pt idx="501">
                  <c:v>93.67</c:v>
                </c:pt>
                <c:pt idx="502">
                  <c:v>93.67</c:v>
                </c:pt>
                <c:pt idx="503">
                  <c:v>93.67</c:v>
                </c:pt>
                <c:pt idx="504">
                  <c:v>93.67</c:v>
                </c:pt>
                <c:pt idx="505">
                  <c:v>93.67</c:v>
                </c:pt>
                <c:pt idx="506">
                  <c:v>93.67</c:v>
                </c:pt>
                <c:pt idx="507">
                  <c:v>93.67</c:v>
                </c:pt>
                <c:pt idx="508">
                  <c:v>93.67</c:v>
                </c:pt>
                <c:pt idx="509">
                  <c:v>93.67</c:v>
                </c:pt>
                <c:pt idx="510">
                  <c:v>93.67</c:v>
                </c:pt>
                <c:pt idx="511">
                  <c:v>93.67</c:v>
                </c:pt>
                <c:pt idx="512">
                  <c:v>93.67</c:v>
                </c:pt>
                <c:pt idx="513">
                  <c:v>93.67</c:v>
                </c:pt>
                <c:pt idx="514">
                  <c:v>93.67</c:v>
                </c:pt>
                <c:pt idx="515">
                  <c:v>94</c:v>
                </c:pt>
                <c:pt idx="516">
                  <c:v>94</c:v>
                </c:pt>
                <c:pt idx="517">
                  <c:v>94</c:v>
                </c:pt>
                <c:pt idx="518">
                  <c:v>94</c:v>
                </c:pt>
                <c:pt idx="519">
                  <c:v>94</c:v>
                </c:pt>
                <c:pt idx="520">
                  <c:v>94</c:v>
                </c:pt>
                <c:pt idx="521">
                  <c:v>94</c:v>
                </c:pt>
                <c:pt idx="522">
                  <c:v>94</c:v>
                </c:pt>
                <c:pt idx="523">
                  <c:v>94</c:v>
                </c:pt>
                <c:pt idx="524">
                  <c:v>94</c:v>
                </c:pt>
                <c:pt idx="525">
                  <c:v>94</c:v>
                </c:pt>
                <c:pt idx="526">
                  <c:v>94</c:v>
                </c:pt>
                <c:pt idx="527">
                  <c:v>94</c:v>
                </c:pt>
                <c:pt idx="528">
                  <c:v>94</c:v>
                </c:pt>
                <c:pt idx="529">
                  <c:v>94</c:v>
                </c:pt>
                <c:pt idx="530">
                  <c:v>94</c:v>
                </c:pt>
                <c:pt idx="531">
                  <c:v>94</c:v>
                </c:pt>
                <c:pt idx="532">
                  <c:v>94</c:v>
                </c:pt>
                <c:pt idx="533">
                  <c:v>94</c:v>
                </c:pt>
                <c:pt idx="534">
                  <c:v>94</c:v>
                </c:pt>
                <c:pt idx="535">
                  <c:v>94</c:v>
                </c:pt>
                <c:pt idx="536">
                  <c:v>94</c:v>
                </c:pt>
                <c:pt idx="537">
                  <c:v>94</c:v>
                </c:pt>
                <c:pt idx="538">
                  <c:v>94.33</c:v>
                </c:pt>
                <c:pt idx="539">
                  <c:v>94.33</c:v>
                </c:pt>
                <c:pt idx="540">
                  <c:v>94.33</c:v>
                </c:pt>
                <c:pt idx="541">
                  <c:v>94.33</c:v>
                </c:pt>
                <c:pt idx="542">
                  <c:v>94.33</c:v>
                </c:pt>
                <c:pt idx="543">
                  <c:v>94.33</c:v>
                </c:pt>
                <c:pt idx="544">
                  <c:v>94.33</c:v>
                </c:pt>
                <c:pt idx="545">
                  <c:v>94.33</c:v>
                </c:pt>
                <c:pt idx="546">
                  <c:v>94.33</c:v>
                </c:pt>
                <c:pt idx="547">
                  <c:v>94.67</c:v>
                </c:pt>
                <c:pt idx="548">
                  <c:v>94.67</c:v>
                </c:pt>
                <c:pt idx="549">
                  <c:v>94.67</c:v>
                </c:pt>
                <c:pt idx="550">
                  <c:v>94.67</c:v>
                </c:pt>
                <c:pt idx="551">
                  <c:v>94.67</c:v>
                </c:pt>
                <c:pt idx="552">
                  <c:v>94.67</c:v>
                </c:pt>
                <c:pt idx="553">
                  <c:v>94.67</c:v>
                </c:pt>
                <c:pt idx="554">
                  <c:v>94.67</c:v>
                </c:pt>
                <c:pt idx="555">
                  <c:v>94.67</c:v>
                </c:pt>
                <c:pt idx="556">
                  <c:v>94.67</c:v>
                </c:pt>
                <c:pt idx="557">
                  <c:v>95</c:v>
                </c:pt>
                <c:pt idx="558">
                  <c:v>95</c:v>
                </c:pt>
                <c:pt idx="559">
                  <c:v>95</c:v>
                </c:pt>
                <c:pt idx="560">
                  <c:v>95</c:v>
                </c:pt>
                <c:pt idx="561">
                  <c:v>95</c:v>
                </c:pt>
                <c:pt idx="562">
                  <c:v>95</c:v>
                </c:pt>
                <c:pt idx="563">
                  <c:v>95</c:v>
                </c:pt>
                <c:pt idx="564">
                  <c:v>95</c:v>
                </c:pt>
                <c:pt idx="565">
                  <c:v>95</c:v>
                </c:pt>
                <c:pt idx="566">
                  <c:v>95</c:v>
                </c:pt>
                <c:pt idx="567">
                  <c:v>95</c:v>
                </c:pt>
                <c:pt idx="568">
                  <c:v>95</c:v>
                </c:pt>
                <c:pt idx="569">
                  <c:v>95</c:v>
                </c:pt>
                <c:pt idx="570">
                  <c:v>95</c:v>
                </c:pt>
                <c:pt idx="571">
                  <c:v>95</c:v>
                </c:pt>
                <c:pt idx="572">
                  <c:v>95</c:v>
                </c:pt>
                <c:pt idx="573">
                  <c:v>95</c:v>
                </c:pt>
                <c:pt idx="574">
                  <c:v>95</c:v>
                </c:pt>
                <c:pt idx="575">
                  <c:v>95</c:v>
                </c:pt>
                <c:pt idx="576">
                  <c:v>95</c:v>
                </c:pt>
                <c:pt idx="577">
                  <c:v>95</c:v>
                </c:pt>
                <c:pt idx="578">
                  <c:v>95</c:v>
                </c:pt>
                <c:pt idx="579">
                  <c:v>95.33</c:v>
                </c:pt>
                <c:pt idx="580">
                  <c:v>95.33</c:v>
                </c:pt>
                <c:pt idx="581">
                  <c:v>95.33</c:v>
                </c:pt>
                <c:pt idx="582">
                  <c:v>95.33</c:v>
                </c:pt>
                <c:pt idx="583">
                  <c:v>95.33</c:v>
                </c:pt>
                <c:pt idx="584">
                  <c:v>95.33</c:v>
                </c:pt>
                <c:pt idx="585">
                  <c:v>95.33</c:v>
                </c:pt>
                <c:pt idx="586">
                  <c:v>95.33</c:v>
                </c:pt>
                <c:pt idx="587">
                  <c:v>95.33</c:v>
                </c:pt>
                <c:pt idx="588">
                  <c:v>95.33</c:v>
                </c:pt>
                <c:pt idx="589">
                  <c:v>95.67</c:v>
                </c:pt>
                <c:pt idx="590">
                  <c:v>95.67</c:v>
                </c:pt>
                <c:pt idx="591">
                  <c:v>95.67</c:v>
                </c:pt>
                <c:pt idx="592">
                  <c:v>95.67</c:v>
                </c:pt>
                <c:pt idx="593">
                  <c:v>95.67</c:v>
                </c:pt>
                <c:pt idx="594">
                  <c:v>95.67</c:v>
                </c:pt>
                <c:pt idx="595">
                  <c:v>95.67</c:v>
                </c:pt>
                <c:pt idx="596">
                  <c:v>95.67</c:v>
                </c:pt>
                <c:pt idx="597">
                  <c:v>95.67</c:v>
                </c:pt>
                <c:pt idx="598">
                  <c:v>96</c:v>
                </c:pt>
                <c:pt idx="599">
                  <c:v>96</c:v>
                </c:pt>
                <c:pt idx="600">
                  <c:v>96</c:v>
                </c:pt>
                <c:pt idx="601">
                  <c:v>96</c:v>
                </c:pt>
                <c:pt idx="602">
                  <c:v>96</c:v>
                </c:pt>
                <c:pt idx="603">
                  <c:v>96</c:v>
                </c:pt>
                <c:pt idx="604">
                  <c:v>96</c:v>
                </c:pt>
                <c:pt idx="605">
                  <c:v>96</c:v>
                </c:pt>
                <c:pt idx="606">
                  <c:v>96</c:v>
                </c:pt>
                <c:pt idx="607">
                  <c:v>96</c:v>
                </c:pt>
                <c:pt idx="608">
                  <c:v>96</c:v>
                </c:pt>
                <c:pt idx="609">
                  <c:v>96</c:v>
                </c:pt>
                <c:pt idx="610">
                  <c:v>96</c:v>
                </c:pt>
                <c:pt idx="611">
                  <c:v>96</c:v>
                </c:pt>
                <c:pt idx="612">
                  <c:v>96</c:v>
                </c:pt>
                <c:pt idx="613">
                  <c:v>96</c:v>
                </c:pt>
                <c:pt idx="614">
                  <c:v>96</c:v>
                </c:pt>
                <c:pt idx="615">
                  <c:v>96</c:v>
                </c:pt>
                <c:pt idx="616">
                  <c:v>96</c:v>
                </c:pt>
                <c:pt idx="617">
                  <c:v>96</c:v>
                </c:pt>
                <c:pt idx="618">
                  <c:v>96</c:v>
                </c:pt>
                <c:pt idx="619">
                  <c:v>96.33</c:v>
                </c:pt>
                <c:pt idx="620">
                  <c:v>96.33</c:v>
                </c:pt>
                <c:pt idx="621">
                  <c:v>96.33</c:v>
                </c:pt>
                <c:pt idx="622">
                  <c:v>96.33</c:v>
                </c:pt>
                <c:pt idx="623">
                  <c:v>96.33</c:v>
                </c:pt>
                <c:pt idx="624">
                  <c:v>96.33</c:v>
                </c:pt>
                <c:pt idx="625">
                  <c:v>96.33</c:v>
                </c:pt>
                <c:pt idx="626">
                  <c:v>96.33</c:v>
                </c:pt>
                <c:pt idx="627">
                  <c:v>96.33</c:v>
                </c:pt>
                <c:pt idx="628">
                  <c:v>96.33</c:v>
                </c:pt>
                <c:pt idx="629">
                  <c:v>96.33</c:v>
                </c:pt>
                <c:pt idx="630">
                  <c:v>96.33</c:v>
                </c:pt>
                <c:pt idx="631">
                  <c:v>96.33</c:v>
                </c:pt>
                <c:pt idx="632">
                  <c:v>96.33</c:v>
                </c:pt>
                <c:pt idx="633">
                  <c:v>96.67</c:v>
                </c:pt>
                <c:pt idx="634">
                  <c:v>96.67</c:v>
                </c:pt>
                <c:pt idx="635">
                  <c:v>96.67</c:v>
                </c:pt>
                <c:pt idx="636">
                  <c:v>96.67</c:v>
                </c:pt>
                <c:pt idx="637">
                  <c:v>96.67</c:v>
                </c:pt>
                <c:pt idx="638">
                  <c:v>96.67</c:v>
                </c:pt>
                <c:pt idx="639">
                  <c:v>96.67</c:v>
                </c:pt>
                <c:pt idx="640">
                  <c:v>96.67</c:v>
                </c:pt>
                <c:pt idx="641">
                  <c:v>96.67</c:v>
                </c:pt>
                <c:pt idx="642">
                  <c:v>96.67</c:v>
                </c:pt>
                <c:pt idx="643">
                  <c:v>96.67</c:v>
                </c:pt>
                <c:pt idx="644">
                  <c:v>96.67</c:v>
                </c:pt>
                <c:pt idx="645">
                  <c:v>96.67</c:v>
                </c:pt>
                <c:pt idx="646">
                  <c:v>96.67</c:v>
                </c:pt>
                <c:pt idx="647">
                  <c:v>96.67</c:v>
                </c:pt>
                <c:pt idx="648">
                  <c:v>96.67</c:v>
                </c:pt>
                <c:pt idx="649">
                  <c:v>96.67</c:v>
                </c:pt>
                <c:pt idx="650">
                  <c:v>97</c:v>
                </c:pt>
                <c:pt idx="651">
                  <c:v>97</c:v>
                </c:pt>
                <c:pt idx="652">
                  <c:v>97</c:v>
                </c:pt>
                <c:pt idx="653">
                  <c:v>97</c:v>
                </c:pt>
                <c:pt idx="654">
                  <c:v>97</c:v>
                </c:pt>
                <c:pt idx="655">
                  <c:v>97</c:v>
                </c:pt>
                <c:pt idx="656">
                  <c:v>97</c:v>
                </c:pt>
                <c:pt idx="657">
                  <c:v>97</c:v>
                </c:pt>
                <c:pt idx="658">
                  <c:v>97</c:v>
                </c:pt>
                <c:pt idx="659">
                  <c:v>97</c:v>
                </c:pt>
                <c:pt idx="660">
                  <c:v>97</c:v>
                </c:pt>
                <c:pt idx="661">
                  <c:v>97</c:v>
                </c:pt>
                <c:pt idx="662">
                  <c:v>97</c:v>
                </c:pt>
                <c:pt idx="663">
                  <c:v>97</c:v>
                </c:pt>
                <c:pt idx="664">
                  <c:v>97</c:v>
                </c:pt>
                <c:pt idx="665">
                  <c:v>97</c:v>
                </c:pt>
                <c:pt idx="666">
                  <c:v>97</c:v>
                </c:pt>
                <c:pt idx="667">
                  <c:v>97</c:v>
                </c:pt>
                <c:pt idx="668">
                  <c:v>97</c:v>
                </c:pt>
                <c:pt idx="669">
                  <c:v>97</c:v>
                </c:pt>
                <c:pt idx="670">
                  <c:v>97</c:v>
                </c:pt>
                <c:pt idx="671">
                  <c:v>97</c:v>
                </c:pt>
                <c:pt idx="672">
                  <c:v>97</c:v>
                </c:pt>
                <c:pt idx="673">
                  <c:v>97</c:v>
                </c:pt>
                <c:pt idx="674">
                  <c:v>97</c:v>
                </c:pt>
                <c:pt idx="675">
                  <c:v>97</c:v>
                </c:pt>
                <c:pt idx="676">
                  <c:v>97</c:v>
                </c:pt>
                <c:pt idx="677">
                  <c:v>97</c:v>
                </c:pt>
                <c:pt idx="678">
                  <c:v>97.33</c:v>
                </c:pt>
                <c:pt idx="679">
                  <c:v>97.33</c:v>
                </c:pt>
                <c:pt idx="680">
                  <c:v>97.33</c:v>
                </c:pt>
                <c:pt idx="681">
                  <c:v>97.33</c:v>
                </c:pt>
                <c:pt idx="682">
                  <c:v>97.33</c:v>
                </c:pt>
                <c:pt idx="683">
                  <c:v>97.33</c:v>
                </c:pt>
                <c:pt idx="684">
                  <c:v>97.33</c:v>
                </c:pt>
                <c:pt idx="685">
                  <c:v>97.33</c:v>
                </c:pt>
                <c:pt idx="686">
                  <c:v>97.33</c:v>
                </c:pt>
                <c:pt idx="687">
                  <c:v>97.33</c:v>
                </c:pt>
                <c:pt idx="688">
                  <c:v>97.33</c:v>
                </c:pt>
                <c:pt idx="689">
                  <c:v>97.33</c:v>
                </c:pt>
                <c:pt idx="690">
                  <c:v>97.33</c:v>
                </c:pt>
                <c:pt idx="691">
                  <c:v>97.33</c:v>
                </c:pt>
                <c:pt idx="692">
                  <c:v>97.33</c:v>
                </c:pt>
                <c:pt idx="693">
                  <c:v>97.33</c:v>
                </c:pt>
                <c:pt idx="694">
                  <c:v>97.67</c:v>
                </c:pt>
                <c:pt idx="695">
                  <c:v>97.67</c:v>
                </c:pt>
                <c:pt idx="696">
                  <c:v>97.67</c:v>
                </c:pt>
                <c:pt idx="697">
                  <c:v>97.67</c:v>
                </c:pt>
                <c:pt idx="698">
                  <c:v>97.67</c:v>
                </c:pt>
                <c:pt idx="699">
                  <c:v>97.67</c:v>
                </c:pt>
                <c:pt idx="700">
                  <c:v>97.67</c:v>
                </c:pt>
                <c:pt idx="701">
                  <c:v>97.67</c:v>
                </c:pt>
                <c:pt idx="702">
                  <c:v>97.67</c:v>
                </c:pt>
                <c:pt idx="703">
                  <c:v>98</c:v>
                </c:pt>
                <c:pt idx="704">
                  <c:v>98</c:v>
                </c:pt>
                <c:pt idx="705">
                  <c:v>98</c:v>
                </c:pt>
                <c:pt idx="706">
                  <c:v>98</c:v>
                </c:pt>
                <c:pt idx="707">
                  <c:v>98</c:v>
                </c:pt>
                <c:pt idx="708">
                  <c:v>98</c:v>
                </c:pt>
                <c:pt idx="709">
                  <c:v>98</c:v>
                </c:pt>
                <c:pt idx="710">
                  <c:v>98</c:v>
                </c:pt>
                <c:pt idx="711">
                  <c:v>98</c:v>
                </c:pt>
                <c:pt idx="712">
                  <c:v>98</c:v>
                </c:pt>
                <c:pt idx="713">
                  <c:v>98</c:v>
                </c:pt>
                <c:pt idx="714">
                  <c:v>98</c:v>
                </c:pt>
                <c:pt idx="715">
                  <c:v>98</c:v>
                </c:pt>
                <c:pt idx="716">
                  <c:v>98</c:v>
                </c:pt>
                <c:pt idx="717">
                  <c:v>98</c:v>
                </c:pt>
                <c:pt idx="718">
                  <c:v>98</c:v>
                </c:pt>
                <c:pt idx="719">
                  <c:v>98</c:v>
                </c:pt>
                <c:pt idx="720">
                  <c:v>98</c:v>
                </c:pt>
                <c:pt idx="721">
                  <c:v>98</c:v>
                </c:pt>
                <c:pt idx="722">
                  <c:v>98</c:v>
                </c:pt>
                <c:pt idx="723">
                  <c:v>98</c:v>
                </c:pt>
                <c:pt idx="724">
                  <c:v>98</c:v>
                </c:pt>
                <c:pt idx="725">
                  <c:v>98</c:v>
                </c:pt>
                <c:pt idx="726">
                  <c:v>98</c:v>
                </c:pt>
                <c:pt idx="727">
                  <c:v>98</c:v>
                </c:pt>
                <c:pt idx="728">
                  <c:v>98</c:v>
                </c:pt>
                <c:pt idx="729">
                  <c:v>98</c:v>
                </c:pt>
                <c:pt idx="730">
                  <c:v>98</c:v>
                </c:pt>
                <c:pt idx="731">
                  <c:v>98.33</c:v>
                </c:pt>
                <c:pt idx="732">
                  <c:v>98.33</c:v>
                </c:pt>
                <c:pt idx="733">
                  <c:v>98.33</c:v>
                </c:pt>
                <c:pt idx="734">
                  <c:v>98.33</c:v>
                </c:pt>
                <c:pt idx="735">
                  <c:v>98.33</c:v>
                </c:pt>
                <c:pt idx="736">
                  <c:v>98.33</c:v>
                </c:pt>
                <c:pt idx="737">
                  <c:v>98.33</c:v>
                </c:pt>
                <c:pt idx="738">
                  <c:v>98.33</c:v>
                </c:pt>
                <c:pt idx="739">
                  <c:v>98.33</c:v>
                </c:pt>
                <c:pt idx="740">
                  <c:v>98.33</c:v>
                </c:pt>
                <c:pt idx="741">
                  <c:v>98.33</c:v>
                </c:pt>
                <c:pt idx="742">
                  <c:v>98.33</c:v>
                </c:pt>
                <c:pt idx="743">
                  <c:v>98.67</c:v>
                </c:pt>
                <c:pt idx="744">
                  <c:v>98.67</c:v>
                </c:pt>
                <c:pt idx="745">
                  <c:v>98.67</c:v>
                </c:pt>
                <c:pt idx="746">
                  <c:v>98.67</c:v>
                </c:pt>
                <c:pt idx="747">
                  <c:v>98.67</c:v>
                </c:pt>
                <c:pt idx="748">
                  <c:v>98.67</c:v>
                </c:pt>
                <c:pt idx="749">
                  <c:v>98.67</c:v>
                </c:pt>
                <c:pt idx="750">
                  <c:v>99</c:v>
                </c:pt>
                <c:pt idx="751">
                  <c:v>99</c:v>
                </c:pt>
                <c:pt idx="752">
                  <c:v>99</c:v>
                </c:pt>
                <c:pt idx="753">
                  <c:v>99</c:v>
                </c:pt>
                <c:pt idx="754">
                  <c:v>99</c:v>
                </c:pt>
                <c:pt idx="755">
                  <c:v>99</c:v>
                </c:pt>
                <c:pt idx="756">
                  <c:v>99</c:v>
                </c:pt>
                <c:pt idx="757">
                  <c:v>99</c:v>
                </c:pt>
                <c:pt idx="758">
                  <c:v>99</c:v>
                </c:pt>
                <c:pt idx="759">
                  <c:v>99</c:v>
                </c:pt>
                <c:pt idx="760">
                  <c:v>99</c:v>
                </c:pt>
                <c:pt idx="761">
                  <c:v>99</c:v>
                </c:pt>
                <c:pt idx="762">
                  <c:v>99</c:v>
                </c:pt>
                <c:pt idx="763">
                  <c:v>99</c:v>
                </c:pt>
                <c:pt idx="764">
                  <c:v>99</c:v>
                </c:pt>
                <c:pt idx="765">
                  <c:v>99</c:v>
                </c:pt>
                <c:pt idx="766">
                  <c:v>99</c:v>
                </c:pt>
                <c:pt idx="767">
                  <c:v>99</c:v>
                </c:pt>
                <c:pt idx="768">
                  <c:v>99</c:v>
                </c:pt>
                <c:pt idx="769">
                  <c:v>99</c:v>
                </c:pt>
                <c:pt idx="770">
                  <c:v>99</c:v>
                </c:pt>
                <c:pt idx="771">
                  <c:v>99</c:v>
                </c:pt>
                <c:pt idx="772">
                  <c:v>99</c:v>
                </c:pt>
                <c:pt idx="773">
                  <c:v>99</c:v>
                </c:pt>
                <c:pt idx="774">
                  <c:v>99</c:v>
                </c:pt>
                <c:pt idx="775">
                  <c:v>99</c:v>
                </c:pt>
                <c:pt idx="776">
                  <c:v>99</c:v>
                </c:pt>
                <c:pt idx="777">
                  <c:v>99</c:v>
                </c:pt>
                <c:pt idx="778">
                  <c:v>99</c:v>
                </c:pt>
                <c:pt idx="779">
                  <c:v>99</c:v>
                </c:pt>
                <c:pt idx="780">
                  <c:v>99</c:v>
                </c:pt>
                <c:pt idx="781">
                  <c:v>99</c:v>
                </c:pt>
                <c:pt idx="782">
                  <c:v>99</c:v>
                </c:pt>
                <c:pt idx="783">
                  <c:v>99</c:v>
                </c:pt>
                <c:pt idx="784">
                  <c:v>99</c:v>
                </c:pt>
                <c:pt idx="785">
                  <c:v>99</c:v>
                </c:pt>
                <c:pt idx="786">
                  <c:v>99</c:v>
                </c:pt>
                <c:pt idx="787">
                  <c:v>99</c:v>
                </c:pt>
                <c:pt idx="788">
                  <c:v>99</c:v>
                </c:pt>
                <c:pt idx="789">
                  <c:v>99</c:v>
                </c:pt>
                <c:pt idx="790">
                  <c:v>99</c:v>
                </c:pt>
                <c:pt idx="791">
                  <c:v>99</c:v>
                </c:pt>
                <c:pt idx="792">
                  <c:v>99</c:v>
                </c:pt>
                <c:pt idx="793">
                  <c:v>99</c:v>
                </c:pt>
                <c:pt idx="794">
                  <c:v>99</c:v>
                </c:pt>
                <c:pt idx="795">
                  <c:v>99</c:v>
                </c:pt>
                <c:pt idx="796">
                  <c:v>99</c:v>
                </c:pt>
                <c:pt idx="797">
                  <c:v>99</c:v>
                </c:pt>
                <c:pt idx="798">
                  <c:v>99</c:v>
                </c:pt>
                <c:pt idx="799">
                  <c:v>99</c:v>
                </c:pt>
                <c:pt idx="800">
                  <c:v>99</c:v>
                </c:pt>
                <c:pt idx="801">
                  <c:v>99</c:v>
                </c:pt>
                <c:pt idx="802">
                  <c:v>99</c:v>
                </c:pt>
                <c:pt idx="803">
                  <c:v>99</c:v>
                </c:pt>
                <c:pt idx="804">
                  <c:v>99</c:v>
                </c:pt>
                <c:pt idx="805">
                  <c:v>99</c:v>
                </c:pt>
                <c:pt idx="806">
                  <c:v>99</c:v>
                </c:pt>
                <c:pt idx="807">
                  <c:v>99</c:v>
                </c:pt>
                <c:pt idx="808">
                  <c:v>99</c:v>
                </c:pt>
                <c:pt idx="809">
                  <c:v>99</c:v>
                </c:pt>
                <c:pt idx="810">
                  <c:v>99</c:v>
                </c:pt>
                <c:pt idx="811">
                  <c:v>99</c:v>
                </c:pt>
                <c:pt idx="812">
                  <c:v>99</c:v>
                </c:pt>
                <c:pt idx="813">
                  <c:v>99.33</c:v>
                </c:pt>
                <c:pt idx="814">
                  <c:v>99.33</c:v>
                </c:pt>
                <c:pt idx="815">
                  <c:v>99.33</c:v>
                </c:pt>
                <c:pt idx="816">
                  <c:v>99.33</c:v>
                </c:pt>
                <c:pt idx="817">
                  <c:v>99.33</c:v>
                </c:pt>
                <c:pt idx="818">
                  <c:v>99.33</c:v>
                </c:pt>
                <c:pt idx="819">
                  <c:v>99.33</c:v>
                </c:pt>
                <c:pt idx="820">
                  <c:v>99.33</c:v>
                </c:pt>
                <c:pt idx="821">
                  <c:v>99.33</c:v>
                </c:pt>
                <c:pt idx="822">
                  <c:v>99.33</c:v>
                </c:pt>
                <c:pt idx="823">
                  <c:v>99.33</c:v>
                </c:pt>
                <c:pt idx="824">
                  <c:v>99.33</c:v>
                </c:pt>
                <c:pt idx="825">
                  <c:v>99.33</c:v>
                </c:pt>
                <c:pt idx="826">
                  <c:v>99.33</c:v>
                </c:pt>
                <c:pt idx="827">
                  <c:v>99.67</c:v>
                </c:pt>
                <c:pt idx="828">
                  <c:v>99.67</c:v>
                </c:pt>
                <c:pt idx="829">
                  <c:v>99.67</c:v>
                </c:pt>
                <c:pt idx="830">
                  <c:v>99.67</c:v>
                </c:pt>
                <c:pt idx="831">
                  <c:v>99.67</c:v>
                </c:pt>
                <c:pt idx="832">
                  <c:v>99.67</c:v>
                </c:pt>
                <c:pt idx="833">
                  <c:v>99.67</c:v>
                </c:pt>
                <c:pt idx="834">
                  <c:v>99.67</c:v>
                </c:pt>
                <c:pt idx="835">
                  <c:v>99.67</c:v>
                </c:pt>
                <c:pt idx="836">
                  <c:v>99.67</c:v>
                </c:pt>
                <c:pt idx="837">
                  <c:v>99.67</c:v>
                </c:pt>
                <c:pt idx="838">
                  <c:v>99.67</c:v>
                </c:pt>
                <c:pt idx="839">
                  <c:v>99.67</c:v>
                </c:pt>
                <c:pt idx="840">
                  <c:v>100</c:v>
                </c:pt>
                <c:pt idx="841">
                  <c:v>100</c:v>
                </c:pt>
                <c:pt idx="842">
                  <c:v>100</c:v>
                </c:pt>
                <c:pt idx="843">
                  <c:v>100</c:v>
                </c:pt>
                <c:pt idx="844">
                  <c:v>100</c:v>
                </c:pt>
                <c:pt idx="845">
                  <c:v>100</c:v>
                </c:pt>
                <c:pt idx="846">
                  <c:v>100</c:v>
                </c:pt>
                <c:pt idx="847">
                  <c:v>100</c:v>
                </c:pt>
                <c:pt idx="848">
                  <c:v>100</c:v>
                </c:pt>
                <c:pt idx="849">
                  <c:v>100</c:v>
                </c:pt>
                <c:pt idx="850">
                  <c:v>100</c:v>
                </c:pt>
                <c:pt idx="851">
                  <c:v>100</c:v>
                </c:pt>
                <c:pt idx="852">
                  <c:v>100</c:v>
                </c:pt>
                <c:pt idx="853">
                  <c:v>100</c:v>
                </c:pt>
                <c:pt idx="854">
                  <c:v>100</c:v>
                </c:pt>
                <c:pt idx="855">
                  <c:v>100</c:v>
                </c:pt>
                <c:pt idx="856">
                  <c:v>100</c:v>
                </c:pt>
                <c:pt idx="857">
                  <c:v>100</c:v>
                </c:pt>
                <c:pt idx="858">
                  <c:v>100</c:v>
                </c:pt>
                <c:pt idx="859">
                  <c:v>100</c:v>
                </c:pt>
                <c:pt idx="860">
                  <c:v>100</c:v>
                </c:pt>
                <c:pt idx="861">
                  <c:v>100</c:v>
                </c:pt>
                <c:pt idx="862">
                  <c:v>100</c:v>
                </c:pt>
                <c:pt idx="863">
                  <c:v>100</c:v>
                </c:pt>
                <c:pt idx="864">
                  <c:v>100</c:v>
                </c:pt>
                <c:pt idx="865">
                  <c:v>100</c:v>
                </c:pt>
                <c:pt idx="866">
                  <c:v>100</c:v>
                </c:pt>
                <c:pt idx="867">
                  <c:v>100</c:v>
                </c:pt>
                <c:pt idx="868">
                  <c:v>100</c:v>
                </c:pt>
                <c:pt idx="869">
                  <c:v>100</c:v>
                </c:pt>
                <c:pt idx="870">
                  <c:v>100</c:v>
                </c:pt>
                <c:pt idx="871">
                  <c:v>100</c:v>
                </c:pt>
                <c:pt idx="872">
                  <c:v>100</c:v>
                </c:pt>
                <c:pt idx="873">
                  <c:v>100</c:v>
                </c:pt>
                <c:pt idx="874">
                  <c:v>100</c:v>
                </c:pt>
                <c:pt idx="875">
                  <c:v>100</c:v>
                </c:pt>
                <c:pt idx="876">
                  <c:v>100</c:v>
                </c:pt>
                <c:pt idx="877">
                  <c:v>100</c:v>
                </c:pt>
                <c:pt idx="878">
                  <c:v>100</c:v>
                </c:pt>
                <c:pt idx="879">
                  <c:v>100</c:v>
                </c:pt>
                <c:pt idx="880">
                  <c:v>100</c:v>
                </c:pt>
                <c:pt idx="881">
                  <c:v>100</c:v>
                </c:pt>
                <c:pt idx="882">
                  <c:v>100</c:v>
                </c:pt>
                <c:pt idx="883">
                  <c:v>100</c:v>
                </c:pt>
                <c:pt idx="884">
                  <c:v>100</c:v>
                </c:pt>
                <c:pt idx="885">
                  <c:v>100</c:v>
                </c:pt>
                <c:pt idx="886">
                  <c:v>100</c:v>
                </c:pt>
                <c:pt idx="887">
                  <c:v>100</c:v>
                </c:pt>
                <c:pt idx="888">
                  <c:v>100</c:v>
                </c:pt>
                <c:pt idx="889">
                  <c:v>100</c:v>
                </c:pt>
                <c:pt idx="890">
                  <c:v>100</c:v>
                </c:pt>
                <c:pt idx="891">
                  <c:v>100</c:v>
                </c:pt>
                <c:pt idx="892">
                  <c:v>100</c:v>
                </c:pt>
                <c:pt idx="893">
                  <c:v>100</c:v>
                </c:pt>
                <c:pt idx="894">
                  <c:v>100</c:v>
                </c:pt>
                <c:pt idx="895">
                  <c:v>100</c:v>
                </c:pt>
                <c:pt idx="896">
                  <c:v>100</c:v>
                </c:pt>
                <c:pt idx="897">
                  <c:v>100</c:v>
                </c:pt>
                <c:pt idx="898">
                  <c:v>100</c:v>
                </c:pt>
                <c:pt idx="899">
                  <c:v>100</c:v>
                </c:pt>
                <c:pt idx="900">
                  <c:v>100</c:v>
                </c:pt>
                <c:pt idx="901">
                  <c:v>100</c:v>
                </c:pt>
                <c:pt idx="902">
                  <c:v>100</c:v>
                </c:pt>
                <c:pt idx="903">
                  <c:v>100</c:v>
                </c:pt>
                <c:pt idx="904">
                  <c:v>100</c:v>
                </c:pt>
                <c:pt idx="905">
                  <c:v>100</c:v>
                </c:pt>
                <c:pt idx="906">
                  <c:v>100</c:v>
                </c:pt>
                <c:pt idx="907">
                  <c:v>100</c:v>
                </c:pt>
                <c:pt idx="908">
                  <c:v>100</c:v>
                </c:pt>
                <c:pt idx="909">
                  <c:v>100</c:v>
                </c:pt>
                <c:pt idx="910">
                  <c:v>100</c:v>
                </c:pt>
                <c:pt idx="911">
                  <c:v>100</c:v>
                </c:pt>
                <c:pt idx="912">
                  <c:v>100</c:v>
                </c:pt>
                <c:pt idx="913">
                  <c:v>100</c:v>
                </c:pt>
                <c:pt idx="914">
                  <c:v>100</c:v>
                </c:pt>
                <c:pt idx="915">
                  <c:v>100</c:v>
                </c:pt>
                <c:pt idx="916">
                  <c:v>100</c:v>
                </c:pt>
                <c:pt idx="917">
                  <c:v>100</c:v>
                </c:pt>
                <c:pt idx="918">
                  <c:v>100</c:v>
                </c:pt>
                <c:pt idx="919">
                  <c:v>100</c:v>
                </c:pt>
                <c:pt idx="920">
                  <c:v>100</c:v>
                </c:pt>
                <c:pt idx="921">
                  <c:v>100</c:v>
                </c:pt>
                <c:pt idx="922">
                  <c:v>100</c:v>
                </c:pt>
                <c:pt idx="923">
                  <c:v>100</c:v>
                </c:pt>
                <c:pt idx="924">
                  <c:v>100</c:v>
                </c:pt>
                <c:pt idx="925">
                  <c:v>100</c:v>
                </c:pt>
                <c:pt idx="926">
                  <c:v>100</c:v>
                </c:pt>
                <c:pt idx="927">
                  <c:v>100</c:v>
                </c:pt>
                <c:pt idx="928">
                  <c:v>100</c:v>
                </c:pt>
                <c:pt idx="929">
                  <c:v>100</c:v>
                </c:pt>
                <c:pt idx="930">
                  <c:v>100</c:v>
                </c:pt>
                <c:pt idx="931">
                  <c:v>100</c:v>
                </c:pt>
                <c:pt idx="932">
                  <c:v>100</c:v>
                </c:pt>
                <c:pt idx="933">
                  <c:v>100</c:v>
                </c:pt>
                <c:pt idx="934">
                  <c:v>100</c:v>
                </c:pt>
                <c:pt idx="935">
                  <c:v>100</c:v>
                </c:pt>
                <c:pt idx="936">
                  <c:v>100</c:v>
                </c:pt>
                <c:pt idx="937">
                  <c:v>100</c:v>
                </c:pt>
                <c:pt idx="938">
                  <c:v>100</c:v>
                </c:pt>
                <c:pt idx="939">
                  <c:v>100</c:v>
                </c:pt>
                <c:pt idx="940">
                  <c:v>100</c:v>
                </c:pt>
                <c:pt idx="941">
                  <c:v>100</c:v>
                </c:pt>
                <c:pt idx="942">
                  <c:v>100</c:v>
                </c:pt>
                <c:pt idx="943">
                  <c:v>100</c:v>
                </c:pt>
                <c:pt idx="944">
                  <c:v>100</c:v>
                </c:pt>
                <c:pt idx="945">
                  <c:v>100</c:v>
                </c:pt>
                <c:pt idx="946">
                  <c:v>100</c:v>
                </c:pt>
                <c:pt idx="947">
                  <c:v>100</c:v>
                </c:pt>
                <c:pt idx="948">
                  <c:v>100</c:v>
                </c:pt>
                <c:pt idx="949">
                  <c:v>100</c:v>
                </c:pt>
                <c:pt idx="950">
                  <c:v>100</c:v>
                </c:pt>
                <c:pt idx="951">
                  <c:v>100</c:v>
                </c:pt>
                <c:pt idx="952">
                  <c:v>100</c:v>
                </c:pt>
                <c:pt idx="953">
                  <c:v>100</c:v>
                </c:pt>
                <c:pt idx="954">
                  <c:v>100</c:v>
                </c:pt>
                <c:pt idx="955">
                  <c:v>100</c:v>
                </c:pt>
                <c:pt idx="956">
                  <c:v>100</c:v>
                </c:pt>
                <c:pt idx="957">
                  <c:v>100</c:v>
                </c:pt>
                <c:pt idx="958">
                  <c:v>100</c:v>
                </c:pt>
                <c:pt idx="959">
                  <c:v>100</c:v>
                </c:pt>
                <c:pt idx="960">
                  <c:v>100</c:v>
                </c:pt>
                <c:pt idx="961">
                  <c:v>100</c:v>
                </c:pt>
                <c:pt idx="962">
                  <c:v>100</c:v>
                </c:pt>
                <c:pt idx="963">
                  <c:v>100</c:v>
                </c:pt>
                <c:pt idx="964">
                  <c:v>100</c:v>
                </c:pt>
                <c:pt idx="965">
                  <c:v>100</c:v>
                </c:pt>
                <c:pt idx="966">
                  <c:v>100</c:v>
                </c:pt>
                <c:pt idx="967">
                  <c:v>100</c:v>
                </c:pt>
                <c:pt idx="968">
                  <c:v>100</c:v>
                </c:pt>
                <c:pt idx="969">
                  <c:v>100</c:v>
                </c:pt>
                <c:pt idx="970">
                  <c:v>100</c:v>
                </c:pt>
                <c:pt idx="971">
                  <c:v>100</c:v>
                </c:pt>
                <c:pt idx="972">
                  <c:v>100</c:v>
                </c:pt>
                <c:pt idx="973">
                  <c:v>100</c:v>
                </c:pt>
                <c:pt idx="974">
                  <c:v>100</c:v>
                </c:pt>
                <c:pt idx="975">
                  <c:v>100</c:v>
                </c:pt>
                <c:pt idx="976">
                  <c:v>100</c:v>
                </c:pt>
                <c:pt idx="977">
                  <c:v>100</c:v>
                </c:pt>
                <c:pt idx="978">
                  <c:v>100</c:v>
                </c:pt>
                <c:pt idx="979">
                  <c:v>100</c:v>
                </c:pt>
                <c:pt idx="980">
                  <c:v>100</c:v>
                </c:pt>
                <c:pt idx="981">
                  <c:v>100</c:v>
                </c:pt>
                <c:pt idx="982">
                  <c:v>100</c:v>
                </c:pt>
                <c:pt idx="983">
                  <c:v>100</c:v>
                </c:pt>
                <c:pt idx="984">
                  <c:v>100</c:v>
                </c:pt>
                <c:pt idx="985">
                  <c:v>100</c:v>
                </c:pt>
                <c:pt idx="986">
                  <c:v>100</c:v>
                </c:pt>
                <c:pt idx="987">
                  <c:v>100</c:v>
                </c:pt>
                <c:pt idx="988">
                  <c:v>100</c:v>
                </c:pt>
                <c:pt idx="989">
                  <c:v>100</c:v>
                </c:pt>
                <c:pt idx="990">
                  <c:v>100</c:v>
                </c:pt>
                <c:pt idx="991">
                  <c:v>100</c:v>
                </c:pt>
                <c:pt idx="992">
                  <c:v>100</c:v>
                </c:pt>
                <c:pt idx="993">
                  <c:v>100</c:v>
                </c:pt>
                <c:pt idx="994">
                  <c:v>100</c:v>
                </c:pt>
                <c:pt idx="995">
                  <c:v>100</c:v>
                </c:pt>
                <c:pt idx="996">
                  <c:v>100</c:v>
                </c:pt>
                <c:pt idx="997">
                  <c:v>100</c:v>
                </c:pt>
                <c:pt idx="998">
                  <c:v>100</c:v>
                </c:pt>
                <c:pt idx="999">
                  <c:v>100</c:v>
                </c:pt>
                <c:pt idx="1000">
                  <c:v>100</c:v>
                </c:pt>
                <c:pt idx="1001">
                  <c:v>100</c:v>
                </c:pt>
                <c:pt idx="1002">
                  <c:v>100</c:v>
                </c:pt>
                <c:pt idx="1003">
                  <c:v>100</c:v>
                </c:pt>
                <c:pt idx="1004">
                  <c:v>100</c:v>
                </c:pt>
                <c:pt idx="1005">
                  <c:v>100</c:v>
                </c:pt>
                <c:pt idx="1006">
                  <c:v>100</c:v>
                </c:pt>
                <c:pt idx="1007">
                  <c:v>100</c:v>
                </c:pt>
                <c:pt idx="1008">
                  <c:v>100</c:v>
                </c:pt>
                <c:pt idx="1009">
                  <c:v>100</c:v>
                </c:pt>
                <c:pt idx="1010">
                  <c:v>100</c:v>
                </c:pt>
                <c:pt idx="1011">
                  <c:v>100</c:v>
                </c:pt>
                <c:pt idx="1012">
                  <c:v>100</c:v>
                </c:pt>
                <c:pt idx="1013">
                  <c:v>100</c:v>
                </c:pt>
                <c:pt idx="1014">
                  <c:v>100</c:v>
                </c:pt>
                <c:pt idx="1015">
                  <c:v>100</c:v>
                </c:pt>
                <c:pt idx="1016">
                  <c:v>100</c:v>
                </c:pt>
                <c:pt idx="1017">
                  <c:v>100</c:v>
                </c:pt>
                <c:pt idx="1018">
                  <c:v>100</c:v>
                </c:pt>
                <c:pt idx="1019">
                  <c:v>100</c:v>
                </c:pt>
                <c:pt idx="1020">
                  <c:v>100</c:v>
                </c:pt>
                <c:pt idx="1021">
                  <c:v>100</c:v>
                </c:pt>
                <c:pt idx="1022">
                  <c:v>100</c:v>
                </c:pt>
                <c:pt idx="1023">
                  <c:v>100</c:v>
                </c:pt>
                <c:pt idx="1024">
                  <c:v>100</c:v>
                </c:pt>
                <c:pt idx="1025">
                  <c:v>100</c:v>
                </c:pt>
                <c:pt idx="1026">
                  <c:v>100</c:v>
                </c:pt>
                <c:pt idx="1027">
                  <c:v>100</c:v>
                </c:pt>
                <c:pt idx="1028">
                  <c:v>100</c:v>
                </c:pt>
                <c:pt idx="1029">
                  <c:v>100</c:v>
                </c:pt>
                <c:pt idx="1030">
                  <c:v>100</c:v>
                </c:pt>
                <c:pt idx="1031">
                  <c:v>100</c:v>
                </c:pt>
                <c:pt idx="1032">
                  <c:v>100</c:v>
                </c:pt>
                <c:pt idx="1033">
                  <c:v>100</c:v>
                </c:pt>
                <c:pt idx="1034">
                  <c:v>100</c:v>
                </c:pt>
                <c:pt idx="1035">
                  <c:v>100</c:v>
                </c:pt>
                <c:pt idx="1036">
                  <c:v>100</c:v>
                </c:pt>
                <c:pt idx="1037">
                  <c:v>100</c:v>
                </c:pt>
                <c:pt idx="1038">
                  <c:v>100</c:v>
                </c:pt>
                <c:pt idx="1039">
                  <c:v>100</c:v>
                </c:pt>
                <c:pt idx="1040">
                  <c:v>100</c:v>
                </c:pt>
                <c:pt idx="1041">
                  <c:v>100</c:v>
                </c:pt>
                <c:pt idx="1042">
                  <c:v>100</c:v>
                </c:pt>
                <c:pt idx="1043">
                  <c:v>100</c:v>
                </c:pt>
                <c:pt idx="1044">
                  <c:v>100</c:v>
                </c:pt>
                <c:pt idx="1045">
                  <c:v>100</c:v>
                </c:pt>
                <c:pt idx="1046">
                  <c:v>100</c:v>
                </c:pt>
                <c:pt idx="1047">
                  <c:v>100</c:v>
                </c:pt>
                <c:pt idx="1049">
                  <c:v>77.082499999999996</c:v>
                </c:pt>
                <c:pt idx="1050">
                  <c:v>99</c:v>
                </c:pt>
                <c:pt idx="1051">
                  <c:v>21.917500000000004</c:v>
                </c:pt>
                <c:pt idx="1052">
                  <c:v>44.20624999999999</c:v>
                </c:pt>
                <c:pt idx="1053">
                  <c:v>131.87625</c:v>
                </c:pt>
              </c:numCache>
            </c:numRef>
          </c:xVal>
          <c:yVal>
            <c:numRef>
              <c:f>Access_to_basic_services!$H$2:$H$1055</c:f>
              <c:numCache>
                <c:formatCode>General</c:formatCode>
                <c:ptCount val="1054"/>
                <c:pt idx="0">
                  <c:v>2.33</c:v>
                </c:pt>
                <c:pt idx="1">
                  <c:v>2.2200000000000002</c:v>
                </c:pt>
                <c:pt idx="2">
                  <c:v>2.2200000000000002</c:v>
                </c:pt>
                <c:pt idx="3">
                  <c:v>2.0699999999999998</c:v>
                </c:pt>
                <c:pt idx="4">
                  <c:v>1.83</c:v>
                </c:pt>
                <c:pt idx="5">
                  <c:v>1.7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87.22</c:v>
                </c:pt>
                <c:pt idx="19">
                  <c:v>5.33</c:v>
                </c:pt>
                <c:pt idx="20">
                  <c:v>49.84</c:v>
                </c:pt>
                <c:pt idx="21">
                  <c:v>68.97</c:v>
                </c:pt>
                <c:pt idx="22">
                  <c:v>10.95</c:v>
                </c:pt>
                <c:pt idx="23">
                  <c:v>64.59</c:v>
                </c:pt>
                <c:pt idx="24">
                  <c:v>5.53</c:v>
                </c:pt>
                <c:pt idx="25">
                  <c:v>10.1</c:v>
                </c:pt>
                <c:pt idx="26">
                  <c:v>10</c:v>
                </c:pt>
                <c:pt idx="27">
                  <c:v>11.24</c:v>
                </c:pt>
                <c:pt idx="28">
                  <c:v>77.790000000000006</c:v>
                </c:pt>
                <c:pt idx="29">
                  <c:v>69.31</c:v>
                </c:pt>
                <c:pt idx="30">
                  <c:v>53.62</c:v>
                </c:pt>
                <c:pt idx="31">
                  <c:v>11.31</c:v>
                </c:pt>
                <c:pt idx="32">
                  <c:v>10.72</c:v>
                </c:pt>
                <c:pt idx="33">
                  <c:v>74.3</c:v>
                </c:pt>
                <c:pt idx="34">
                  <c:v>11.32</c:v>
                </c:pt>
                <c:pt idx="35">
                  <c:v>5.61</c:v>
                </c:pt>
                <c:pt idx="36">
                  <c:v>17.93</c:v>
                </c:pt>
                <c:pt idx="37">
                  <c:v>21.72</c:v>
                </c:pt>
                <c:pt idx="38">
                  <c:v>11.85</c:v>
                </c:pt>
                <c:pt idx="39">
                  <c:v>16.18</c:v>
                </c:pt>
                <c:pt idx="40">
                  <c:v>20.76</c:v>
                </c:pt>
                <c:pt idx="41">
                  <c:v>15.89</c:v>
                </c:pt>
                <c:pt idx="42">
                  <c:v>81.77</c:v>
                </c:pt>
                <c:pt idx="43">
                  <c:v>13.18</c:v>
                </c:pt>
                <c:pt idx="44">
                  <c:v>5.86</c:v>
                </c:pt>
                <c:pt idx="45">
                  <c:v>22.74</c:v>
                </c:pt>
                <c:pt idx="46">
                  <c:v>32.39</c:v>
                </c:pt>
                <c:pt idx="47">
                  <c:v>14.11</c:v>
                </c:pt>
                <c:pt idx="48">
                  <c:v>13.76</c:v>
                </c:pt>
                <c:pt idx="49">
                  <c:v>24.11</c:v>
                </c:pt>
                <c:pt idx="50">
                  <c:v>84.27</c:v>
                </c:pt>
                <c:pt idx="51">
                  <c:v>15.95</c:v>
                </c:pt>
                <c:pt idx="52">
                  <c:v>29.2</c:v>
                </c:pt>
                <c:pt idx="53">
                  <c:v>14.1</c:v>
                </c:pt>
                <c:pt idx="54">
                  <c:v>12.83</c:v>
                </c:pt>
                <c:pt idx="55">
                  <c:v>24.75</c:v>
                </c:pt>
                <c:pt idx="56">
                  <c:v>0</c:v>
                </c:pt>
                <c:pt idx="57">
                  <c:v>13.05</c:v>
                </c:pt>
                <c:pt idx="58">
                  <c:v>6.49</c:v>
                </c:pt>
                <c:pt idx="59">
                  <c:v>11.83</c:v>
                </c:pt>
                <c:pt idx="60">
                  <c:v>23.85</c:v>
                </c:pt>
                <c:pt idx="61">
                  <c:v>0</c:v>
                </c:pt>
                <c:pt idx="62">
                  <c:v>9.68</c:v>
                </c:pt>
                <c:pt idx="63">
                  <c:v>95.91</c:v>
                </c:pt>
                <c:pt idx="64">
                  <c:v>30.74</c:v>
                </c:pt>
                <c:pt idx="65">
                  <c:v>10.4</c:v>
                </c:pt>
                <c:pt idx="66">
                  <c:v>11.19</c:v>
                </c:pt>
                <c:pt idx="67">
                  <c:v>12.81</c:v>
                </c:pt>
                <c:pt idx="68">
                  <c:v>6.88</c:v>
                </c:pt>
                <c:pt idx="69">
                  <c:v>12.92</c:v>
                </c:pt>
                <c:pt idx="70">
                  <c:v>13.74</c:v>
                </c:pt>
                <c:pt idx="71">
                  <c:v>13.19</c:v>
                </c:pt>
                <c:pt idx="72">
                  <c:v>11.24</c:v>
                </c:pt>
                <c:pt idx="73">
                  <c:v>107.66</c:v>
                </c:pt>
                <c:pt idx="74">
                  <c:v>11.94</c:v>
                </c:pt>
                <c:pt idx="75">
                  <c:v>12.2</c:v>
                </c:pt>
                <c:pt idx="76">
                  <c:v>0</c:v>
                </c:pt>
                <c:pt idx="77">
                  <c:v>32.93</c:v>
                </c:pt>
                <c:pt idx="78">
                  <c:v>0</c:v>
                </c:pt>
                <c:pt idx="79">
                  <c:v>35.35</c:v>
                </c:pt>
                <c:pt idx="80">
                  <c:v>0</c:v>
                </c:pt>
                <c:pt idx="81">
                  <c:v>13.22</c:v>
                </c:pt>
                <c:pt idx="82">
                  <c:v>0</c:v>
                </c:pt>
                <c:pt idx="83">
                  <c:v>1.05</c:v>
                </c:pt>
                <c:pt idx="84">
                  <c:v>1.35</c:v>
                </c:pt>
                <c:pt idx="85">
                  <c:v>1.5</c:v>
                </c:pt>
                <c:pt idx="86">
                  <c:v>1.44</c:v>
                </c:pt>
                <c:pt idx="87">
                  <c:v>1.43</c:v>
                </c:pt>
                <c:pt idx="88">
                  <c:v>4.22</c:v>
                </c:pt>
                <c:pt idx="89">
                  <c:v>0</c:v>
                </c:pt>
                <c:pt idx="90">
                  <c:v>1.18</c:v>
                </c:pt>
                <c:pt idx="91">
                  <c:v>3.67</c:v>
                </c:pt>
                <c:pt idx="92">
                  <c:v>37.6</c:v>
                </c:pt>
                <c:pt idx="93">
                  <c:v>84.99</c:v>
                </c:pt>
                <c:pt idx="94">
                  <c:v>0</c:v>
                </c:pt>
                <c:pt idx="95">
                  <c:v>0</c:v>
                </c:pt>
                <c:pt idx="96">
                  <c:v>3.72</c:v>
                </c:pt>
                <c:pt idx="97">
                  <c:v>102.94</c:v>
                </c:pt>
                <c:pt idx="98">
                  <c:v>129.72</c:v>
                </c:pt>
                <c:pt idx="99">
                  <c:v>32.33</c:v>
                </c:pt>
                <c:pt idx="100">
                  <c:v>32.340000000000003</c:v>
                </c:pt>
                <c:pt idx="101">
                  <c:v>27.03</c:v>
                </c:pt>
                <c:pt idx="102">
                  <c:v>0</c:v>
                </c:pt>
                <c:pt idx="103">
                  <c:v>14.85</c:v>
                </c:pt>
                <c:pt idx="104">
                  <c:v>32.21</c:v>
                </c:pt>
                <c:pt idx="105">
                  <c:v>33.81</c:v>
                </c:pt>
                <c:pt idx="106">
                  <c:v>4.09</c:v>
                </c:pt>
                <c:pt idx="107">
                  <c:v>0</c:v>
                </c:pt>
                <c:pt idx="108">
                  <c:v>8.5399999999999991</c:v>
                </c:pt>
                <c:pt idx="109">
                  <c:v>0</c:v>
                </c:pt>
                <c:pt idx="110">
                  <c:v>36.1</c:v>
                </c:pt>
                <c:pt idx="111">
                  <c:v>39.97</c:v>
                </c:pt>
                <c:pt idx="112">
                  <c:v>39.67</c:v>
                </c:pt>
                <c:pt idx="113">
                  <c:v>21.25</c:v>
                </c:pt>
                <c:pt idx="114">
                  <c:v>14.83</c:v>
                </c:pt>
                <c:pt idx="115">
                  <c:v>8.69</c:v>
                </c:pt>
                <c:pt idx="116">
                  <c:v>40.770000000000003</c:v>
                </c:pt>
                <c:pt idx="117">
                  <c:v>4.08</c:v>
                </c:pt>
                <c:pt idx="118">
                  <c:v>13.99</c:v>
                </c:pt>
                <c:pt idx="119">
                  <c:v>15.04</c:v>
                </c:pt>
                <c:pt idx="120">
                  <c:v>70.12</c:v>
                </c:pt>
                <c:pt idx="121">
                  <c:v>15.39</c:v>
                </c:pt>
                <c:pt idx="122">
                  <c:v>20.96</c:v>
                </c:pt>
                <c:pt idx="123">
                  <c:v>16.46</c:v>
                </c:pt>
                <c:pt idx="124">
                  <c:v>14.79</c:v>
                </c:pt>
                <c:pt idx="125">
                  <c:v>0</c:v>
                </c:pt>
                <c:pt idx="126">
                  <c:v>25.87</c:v>
                </c:pt>
                <c:pt idx="127">
                  <c:v>14.51</c:v>
                </c:pt>
                <c:pt idx="128">
                  <c:v>74.819999999999993</c:v>
                </c:pt>
                <c:pt idx="129">
                  <c:v>9.25</c:v>
                </c:pt>
                <c:pt idx="130">
                  <c:v>0</c:v>
                </c:pt>
                <c:pt idx="131">
                  <c:v>4.0599999999999996</c:v>
                </c:pt>
                <c:pt idx="132">
                  <c:v>26.31</c:v>
                </c:pt>
                <c:pt idx="133">
                  <c:v>11.39</c:v>
                </c:pt>
                <c:pt idx="134">
                  <c:v>11.82</c:v>
                </c:pt>
                <c:pt idx="135">
                  <c:v>12.7</c:v>
                </c:pt>
                <c:pt idx="136">
                  <c:v>14.39</c:v>
                </c:pt>
                <c:pt idx="137">
                  <c:v>15.65</c:v>
                </c:pt>
                <c:pt idx="138">
                  <c:v>82.04</c:v>
                </c:pt>
                <c:pt idx="139">
                  <c:v>92.2</c:v>
                </c:pt>
                <c:pt idx="140">
                  <c:v>9.64</c:v>
                </c:pt>
                <c:pt idx="141">
                  <c:v>14.26</c:v>
                </c:pt>
                <c:pt idx="142">
                  <c:v>100.38</c:v>
                </c:pt>
                <c:pt idx="143">
                  <c:v>10.36</c:v>
                </c:pt>
                <c:pt idx="144">
                  <c:v>10.18</c:v>
                </c:pt>
                <c:pt idx="145">
                  <c:v>23.31</c:v>
                </c:pt>
                <c:pt idx="146">
                  <c:v>0</c:v>
                </c:pt>
                <c:pt idx="147">
                  <c:v>4.18</c:v>
                </c:pt>
                <c:pt idx="148">
                  <c:v>14.03</c:v>
                </c:pt>
                <c:pt idx="149">
                  <c:v>18.11</c:v>
                </c:pt>
                <c:pt idx="150">
                  <c:v>6.17</c:v>
                </c:pt>
                <c:pt idx="151">
                  <c:v>20</c:v>
                </c:pt>
                <c:pt idx="152">
                  <c:v>100.67</c:v>
                </c:pt>
                <c:pt idx="153">
                  <c:v>8.7899999999999991</c:v>
                </c:pt>
                <c:pt idx="154">
                  <c:v>8.6</c:v>
                </c:pt>
                <c:pt idx="155">
                  <c:v>11.86</c:v>
                </c:pt>
                <c:pt idx="156">
                  <c:v>13.44</c:v>
                </c:pt>
                <c:pt idx="157">
                  <c:v>10.32</c:v>
                </c:pt>
                <c:pt idx="158">
                  <c:v>14.18</c:v>
                </c:pt>
                <c:pt idx="159">
                  <c:v>6.03</c:v>
                </c:pt>
                <c:pt idx="160">
                  <c:v>0</c:v>
                </c:pt>
                <c:pt idx="161">
                  <c:v>21.51</c:v>
                </c:pt>
                <c:pt idx="162">
                  <c:v>3.1</c:v>
                </c:pt>
                <c:pt idx="163">
                  <c:v>2.64</c:v>
                </c:pt>
                <c:pt idx="164">
                  <c:v>21.83</c:v>
                </c:pt>
                <c:pt idx="165">
                  <c:v>6.4</c:v>
                </c:pt>
                <c:pt idx="166">
                  <c:v>6.4</c:v>
                </c:pt>
                <c:pt idx="167">
                  <c:v>34.159999999999997</c:v>
                </c:pt>
                <c:pt idx="168">
                  <c:v>0</c:v>
                </c:pt>
                <c:pt idx="169">
                  <c:v>0</c:v>
                </c:pt>
                <c:pt idx="170">
                  <c:v>3.09</c:v>
                </c:pt>
                <c:pt idx="171">
                  <c:v>3.18</c:v>
                </c:pt>
                <c:pt idx="172">
                  <c:v>17.579999999999998</c:v>
                </c:pt>
                <c:pt idx="173">
                  <c:v>0</c:v>
                </c:pt>
                <c:pt idx="174">
                  <c:v>0</c:v>
                </c:pt>
                <c:pt idx="175">
                  <c:v>493.03</c:v>
                </c:pt>
                <c:pt idx="176">
                  <c:v>2.71</c:v>
                </c:pt>
                <c:pt idx="177">
                  <c:v>2.66</c:v>
                </c:pt>
                <c:pt idx="178">
                  <c:v>2.6</c:v>
                </c:pt>
                <c:pt idx="179">
                  <c:v>2.76</c:v>
                </c:pt>
                <c:pt idx="180">
                  <c:v>2.91</c:v>
                </c:pt>
                <c:pt idx="181">
                  <c:v>20.55</c:v>
                </c:pt>
                <c:pt idx="182">
                  <c:v>7.11</c:v>
                </c:pt>
                <c:pt idx="183">
                  <c:v>18.02</c:v>
                </c:pt>
                <c:pt idx="184">
                  <c:v>2.42</c:v>
                </c:pt>
                <c:pt idx="185">
                  <c:v>19.96</c:v>
                </c:pt>
                <c:pt idx="186">
                  <c:v>6.8</c:v>
                </c:pt>
                <c:pt idx="187">
                  <c:v>7.47</c:v>
                </c:pt>
                <c:pt idx="188">
                  <c:v>8.07</c:v>
                </c:pt>
                <c:pt idx="189">
                  <c:v>2.58</c:v>
                </c:pt>
                <c:pt idx="190">
                  <c:v>2.65</c:v>
                </c:pt>
                <c:pt idx="191">
                  <c:v>8.41</c:v>
                </c:pt>
                <c:pt idx="192">
                  <c:v>7.22</c:v>
                </c:pt>
                <c:pt idx="193">
                  <c:v>0</c:v>
                </c:pt>
                <c:pt idx="194">
                  <c:v>0</c:v>
                </c:pt>
                <c:pt idx="195">
                  <c:v>7.57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404.65</c:v>
                </c:pt>
                <c:pt idx="200">
                  <c:v>6.37</c:v>
                </c:pt>
                <c:pt idx="201">
                  <c:v>0</c:v>
                </c:pt>
                <c:pt idx="202">
                  <c:v>5.43</c:v>
                </c:pt>
                <c:pt idx="203">
                  <c:v>14.38</c:v>
                </c:pt>
                <c:pt idx="204">
                  <c:v>18.899999999999999</c:v>
                </c:pt>
                <c:pt idx="205">
                  <c:v>1.62</c:v>
                </c:pt>
                <c:pt idx="206">
                  <c:v>1.62</c:v>
                </c:pt>
                <c:pt idx="207">
                  <c:v>1.54</c:v>
                </c:pt>
                <c:pt idx="208">
                  <c:v>14.02</c:v>
                </c:pt>
                <c:pt idx="209">
                  <c:v>375.75</c:v>
                </c:pt>
                <c:pt idx="210">
                  <c:v>8.94</c:v>
                </c:pt>
                <c:pt idx="211">
                  <c:v>3.23</c:v>
                </c:pt>
                <c:pt idx="212">
                  <c:v>14.93</c:v>
                </c:pt>
                <c:pt idx="213">
                  <c:v>16.87</c:v>
                </c:pt>
                <c:pt idx="214">
                  <c:v>3.4</c:v>
                </c:pt>
                <c:pt idx="215">
                  <c:v>18.05</c:v>
                </c:pt>
                <c:pt idx="216">
                  <c:v>1.47</c:v>
                </c:pt>
                <c:pt idx="217">
                  <c:v>9.8800000000000008</c:v>
                </c:pt>
                <c:pt idx="218">
                  <c:v>16.87</c:v>
                </c:pt>
                <c:pt idx="219">
                  <c:v>15.31</c:v>
                </c:pt>
                <c:pt idx="220">
                  <c:v>4.0599999999999996</c:v>
                </c:pt>
                <c:pt idx="221">
                  <c:v>20.02</c:v>
                </c:pt>
                <c:pt idx="222">
                  <c:v>0.17</c:v>
                </c:pt>
                <c:pt idx="223">
                  <c:v>11.03</c:v>
                </c:pt>
                <c:pt idx="224">
                  <c:v>1.38</c:v>
                </c:pt>
                <c:pt idx="225">
                  <c:v>3.82</c:v>
                </c:pt>
                <c:pt idx="226">
                  <c:v>3.39</c:v>
                </c:pt>
                <c:pt idx="227">
                  <c:v>3.42</c:v>
                </c:pt>
                <c:pt idx="228">
                  <c:v>421.74</c:v>
                </c:pt>
                <c:pt idx="229">
                  <c:v>22.18</c:v>
                </c:pt>
                <c:pt idx="230">
                  <c:v>1.31</c:v>
                </c:pt>
                <c:pt idx="231">
                  <c:v>0.18</c:v>
                </c:pt>
                <c:pt idx="232">
                  <c:v>12.18</c:v>
                </c:pt>
                <c:pt idx="233">
                  <c:v>24.57</c:v>
                </c:pt>
                <c:pt idx="234">
                  <c:v>2.36</c:v>
                </c:pt>
                <c:pt idx="235">
                  <c:v>0.19</c:v>
                </c:pt>
                <c:pt idx="236">
                  <c:v>4.4000000000000004</c:v>
                </c:pt>
                <c:pt idx="237">
                  <c:v>2.11</c:v>
                </c:pt>
                <c:pt idx="238">
                  <c:v>3.32</c:v>
                </c:pt>
                <c:pt idx="239">
                  <c:v>3.04</c:v>
                </c:pt>
                <c:pt idx="240">
                  <c:v>18.420000000000002</c:v>
                </c:pt>
                <c:pt idx="241">
                  <c:v>27.09</c:v>
                </c:pt>
                <c:pt idx="242">
                  <c:v>25.87</c:v>
                </c:pt>
                <c:pt idx="243">
                  <c:v>0.2</c:v>
                </c:pt>
                <c:pt idx="244">
                  <c:v>2.31</c:v>
                </c:pt>
                <c:pt idx="245">
                  <c:v>11.62</c:v>
                </c:pt>
                <c:pt idx="246">
                  <c:v>4.67</c:v>
                </c:pt>
                <c:pt idx="247">
                  <c:v>448.12</c:v>
                </c:pt>
                <c:pt idx="248">
                  <c:v>0.18</c:v>
                </c:pt>
                <c:pt idx="249">
                  <c:v>0.32</c:v>
                </c:pt>
                <c:pt idx="250">
                  <c:v>2.5499999999999998</c:v>
                </c:pt>
                <c:pt idx="251">
                  <c:v>2.4500000000000002</c:v>
                </c:pt>
                <c:pt idx="252">
                  <c:v>13.1</c:v>
                </c:pt>
                <c:pt idx="253">
                  <c:v>63.05</c:v>
                </c:pt>
                <c:pt idx="254">
                  <c:v>2.23</c:v>
                </c:pt>
                <c:pt idx="255">
                  <c:v>0.35</c:v>
                </c:pt>
                <c:pt idx="256">
                  <c:v>4.5</c:v>
                </c:pt>
                <c:pt idx="257">
                  <c:v>3.98</c:v>
                </c:pt>
                <c:pt idx="258">
                  <c:v>11.18</c:v>
                </c:pt>
                <c:pt idx="259">
                  <c:v>0.18</c:v>
                </c:pt>
                <c:pt idx="260">
                  <c:v>0.38</c:v>
                </c:pt>
                <c:pt idx="261">
                  <c:v>0.41</c:v>
                </c:pt>
                <c:pt idx="262">
                  <c:v>0.43</c:v>
                </c:pt>
                <c:pt idx="263">
                  <c:v>0.47</c:v>
                </c:pt>
                <c:pt idx="264">
                  <c:v>432.2</c:v>
                </c:pt>
                <c:pt idx="265">
                  <c:v>14.03</c:v>
                </c:pt>
                <c:pt idx="266">
                  <c:v>18.899999999999999</c:v>
                </c:pt>
                <c:pt idx="267">
                  <c:v>11.48</c:v>
                </c:pt>
                <c:pt idx="268">
                  <c:v>1.59</c:v>
                </c:pt>
                <c:pt idx="269">
                  <c:v>0</c:v>
                </c:pt>
                <c:pt idx="270">
                  <c:v>60.29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13.18</c:v>
                </c:pt>
                <c:pt idx="275">
                  <c:v>13.29</c:v>
                </c:pt>
                <c:pt idx="276">
                  <c:v>13.79</c:v>
                </c:pt>
                <c:pt idx="277">
                  <c:v>12.76</c:v>
                </c:pt>
                <c:pt idx="278">
                  <c:v>13.03</c:v>
                </c:pt>
                <c:pt idx="279">
                  <c:v>12.6</c:v>
                </c:pt>
                <c:pt idx="280">
                  <c:v>12.59</c:v>
                </c:pt>
                <c:pt idx="281">
                  <c:v>0</c:v>
                </c:pt>
                <c:pt idx="282">
                  <c:v>0</c:v>
                </c:pt>
                <c:pt idx="283">
                  <c:v>49.41</c:v>
                </c:pt>
                <c:pt idx="284">
                  <c:v>15.37</c:v>
                </c:pt>
                <c:pt idx="285">
                  <c:v>0</c:v>
                </c:pt>
                <c:pt idx="286">
                  <c:v>17.77</c:v>
                </c:pt>
                <c:pt idx="287">
                  <c:v>14.21</c:v>
                </c:pt>
                <c:pt idx="288">
                  <c:v>8.27</c:v>
                </c:pt>
                <c:pt idx="289">
                  <c:v>20.14</c:v>
                </c:pt>
                <c:pt idx="290">
                  <c:v>61.45</c:v>
                </c:pt>
                <c:pt idx="291">
                  <c:v>56.17</c:v>
                </c:pt>
                <c:pt idx="292">
                  <c:v>1.65</c:v>
                </c:pt>
                <c:pt idx="293">
                  <c:v>17.07</c:v>
                </c:pt>
                <c:pt idx="294">
                  <c:v>19.04</c:v>
                </c:pt>
                <c:pt idx="295">
                  <c:v>13.31</c:v>
                </c:pt>
                <c:pt idx="296">
                  <c:v>6.99</c:v>
                </c:pt>
                <c:pt idx="297">
                  <c:v>110.41</c:v>
                </c:pt>
                <c:pt idx="298">
                  <c:v>60.41</c:v>
                </c:pt>
                <c:pt idx="299">
                  <c:v>0.97</c:v>
                </c:pt>
                <c:pt idx="300">
                  <c:v>1.01</c:v>
                </c:pt>
                <c:pt idx="301">
                  <c:v>1.08</c:v>
                </c:pt>
                <c:pt idx="302">
                  <c:v>1.19</c:v>
                </c:pt>
                <c:pt idx="303">
                  <c:v>1.2</c:v>
                </c:pt>
                <c:pt idx="304">
                  <c:v>21</c:v>
                </c:pt>
                <c:pt idx="305">
                  <c:v>0</c:v>
                </c:pt>
                <c:pt idx="306">
                  <c:v>17.28</c:v>
                </c:pt>
                <c:pt idx="307">
                  <c:v>7.54</c:v>
                </c:pt>
                <c:pt idx="308">
                  <c:v>67.14</c:v>
                </c:pt>
                <c:pt idx="309">
                  <c:v>1.6</c:v>
                </c:pt>
                <c:pt idx="310">
                  <c:v>67.3</c:v>
                </c:pt>
                <c:pt idx="311">
                  <c:v>23.12</c:v>
                </c:pt>
                <c:pt idx="312">
                  <c:v>111.57</c:v>
                </c:pt>
                <c:pt idx="313">
                  <c:v>10.72</c:v>
                </c:pt>
                <c:pt idx="314">
                  <c:v>7.77</c:v>
                </c:pt>
                <c:pt idx="315">
                  <c:v>0</c:v>
                </c:pt>
                <c:pt idx="316">
                  <c:v>11.34</c:v>
                </c:pt>
                <c:pt idx="317">
                  <c:v>12.9</c:v>
                </c:pt>
                <c:pt idx="318">
                  <c:v>1.6</c:v>
                </c:pt>
                <c:pt idx="319">
                  <c:v>13.68</c:v>
                </c:pt>
                <c:pt idx="320">
                  <c:v>12.54</c:v>
                </c:pt>
                <c:pt idx="321">
                  <c:v>10.58</c:v>
                </c:pt>
                <c:pt idx="322">
                  <c:v>68.34</c:v>
                </c:pt>
                <c:pt idx="323">
                  <c:v>17.47</c:v>
                </c:pt>
                <c:pt idx="324">
                  <c:v>68.7</c:v>
                </c:pt>
                <c:pt idx="325">
                  <c:v>118.54</c:v>
                </c:pt>
                <c:pt idx="326">
                  <c:v>23.4</c:v>
                </c:pt>
                <c:pt idx="327">
                  <c:v>1.56</c:v>
                </c:pt>
                <c:pt idx="328">
                  <c:v>1.66</c:v>
                </c:pt>
                <c:pt idx="329">
                  <c:v>70.040000000000006</c:v>
                </c:pt>
                <c:pt idx="330">
                  <c:v>8.3000000000000007</c:v>
                </c:pt>
                <c:pt idx="331">
                  <c:v>8.1300000000000008</c:v>
                </c:pt>
                <c:pt idx="332">
                  <c:v>0</c:v>
                </c:pt>
                <c:pt idx="333">
                  <c:v>24.49</c:v>
                </c:pt>
                <c:pt idx="334">
                  <c:v>1.77</c:v>
                </c:pt>
                <c:pt idx="335">
                  <c:v>78.930000000000007</c:v>
                </c:pt>
                <c:pt idx="336">
                  <c:v>127.34</c:v>
                </c:pt>
                <c:pt idx="337">
                  <c:v>13.53</c:v>
                </c:pt>
                <c:pt idx="338">
                  <c:v>2.0299999999999998</c:v>
                </c:pt>
                <c:pt idx="339">
                  <c:v>189.81</c:v>
                </c:pt>
                <c:pt idx="340">
                  <c:v>78.709999999999994</c:v>
                </c:pt>
                <c:pt idx="341">
                  <c:v>1.97</c:v>
                </c:pt>
                <c:pt idx="342">
                  <c:v>0</c:v>
                </c:pt>
                <c:pt idx="343">
                  <c:v>0</c:v>
                </c:pt>
                <c:pt idx="344">
                  <c:v>75.13</c:v>
                </c:pt>
                <c:pt idx="345">
                  <c:v>80.86</c:v>
                </c:pt>
                <c:pt idx="346">
                  <c:v>15.08</c:v>
                </c:pt>
                <c:pt idx="347">
                  <c:v>1.98</c:v>
                </c:pt>
                <c:pt idx="348">
                  <c:v>2.16</c:v>
                </c:pt>
                <c:pt idx="349">
                  <c:v>91.51</c:v>
                </c:pt>
                <c:pt idx="350">
                  <c:v>0</c:v>
                </c:pt>
                <c:pt idx="351">
                  <c:v>191.9</c:v>
                </c:pt>
                <c:pt idx="352">
                  <c:v>128.91999999999999</c:v>
                </c:pt>
                <c:pt idx="353">
                  <c:v>1.7</c:v>
                </c:pt>
                <c:pt idx="354">
                  <c:v>211.01</c:v>
                </c:pt>
                <c:pt idx="355">
                  <c:v>88.06</c:v>
                </c:pt>
                <c:pt idx="356">
                  <c:v>75.91</c:v>
                </c:pt>
                <c:pt idx="357">
                  <c:v>16.11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24.36</c:v>
                </c:pt>
                <c:pt idx="365">
                  <c:v>860.85</c:v>
                </c:pt>
                <c:pt idx="366">
                  <c:v>121.35</c:v>
                </c:pt>
                <c:pt idx="367">
                  <c:v>17.03</c:v>
                </c:pt>
                <c:pt idx="368">
                  <c:v>24.52</c:v>
                </c:pt>
                <c:pt idx="369">
                  <c:v>222.6</c:v>
                </c:pt>
                <c:pt idx="370">
                  <c:v>2103.59</c:v>
                </c:pt>
                <c:pt idx="371">
                  <c:v>28.97</c:v>
                </c:pt>
                <c:pt idx="372">
                  <c:v>931.88</c:v>
                </c:pt>
                <c:pt idx="373">
                  <c:v>0</c:v>
                </c:pt>
                <c:pt idx="374">
                  <c:v>2294.8000000000002</c:v>
                </c:pt>
                <c:pt idx="375">
                  <c:v>33.11</c:v>
                </c:pt>
                <c:pt idx="376">
                  <c:v>228.32</c:v>
                </c:pt>
                <c:pt idx="377">
                  <c:v>0.18</c:v>
                </c:pt>
                <c:pt idx="378">
                  <c:v>0</c:v>
                </c:pt>
                <c:pt idx="379">
                  <c:v>1015.62</c:v>
                </c:pt>
                <c:pt idx="380">
                  <c:v>0</c:v>
                </c:pt>
                <c:pt idx="381">
                  <c:v>0.2</c:v>
                </c:pt>
                <c:pt idx="382">
                  <c:v>0.21</c:v>
                </c:pt>
                <c:pt idx="383">
                  <c:v>16.7</c:v>
                </c:pt>
                <c:pt idx="384">
                  <c:v>14.93</c:v>
                </c:pt>
                <c:pt idx="385">
                  <c:v>2651.47</c:v>
                </c:pt>
                <c:pt idx="386">
                  <c:v>34.19</c:v>
                </c:pt>
                <c:pt idx="387">
                  <c:v>33.43</c:v>
                </c:pt>
                <c:pt idx="388">
                  <c:v>270.56</c:v>
                </c:pt>
                <c:pt idx="389">
                  <c:v>313.63</c:v>
                </c:pt>
                <c:pt idx="390">
                  <c:v>14.19</c:v>
                </c:pt>
                <c:pt idx="391">
                  <c:v>0.22</c:v>
                </c:pt>
                <c:pt idx="392">
                  <c:v>0.23</c:v>
                </c:pt>
                <c:pt idx="393">
                  <c:v>0.24</c:v>
                </c:pt>
                <c:pt idx="394">
                  <c:v>346.71</c:v>
                </c:pt>
                <c:pt idx="395">
                  <c:v>0</c:v>
                </c:pt>
                <c:pt idx="396">
                  <c:v>2702.93</c:v>
                </c:pt>
                <c:pt idx="397">
                  <c:v>339.21</c:v>
                </c:pt>
                <c:pt idx="398">
                  <c:v>356.13</c:v>
                </c:pt>
                <c:pt idx="399">
                  <c:v>320.91000000000003</c:v>
                </c:pt>
                <c:pt idx="400">
                  <c:v>14.08</c:v>
                </c:pt>
                <c:pt idx="401">
                  <c:v>14.81</c:v>
                </c:pt>
                <c:pt idx="402">
                  <c:v>15.73</c:v>
                </c:pt>
                <c:pt idx="403">
                  <c:v>15.83</c:v>
                </c:pt>
                <c:pt idx="404">
                  <c:v>13.81</c:v>
                </c:pt>
                <c:pt idx="405">
                  <c:v>0</c:v>
                </c:pt>
                <c:pt idx="406">
                  <c:v>201.71</c:v>
                </c:pt>
                <c:pt idx="407">
                  <c:v>323.58999999999997</c:v>
                </c:pt>
                <c:pt idx="408">
                  <c:v>2831.55</c:v>
                </c:pt>
                <c:pt idx="409">
                  <c:v>300.43</c:v>
                </c:pt>
                <c:pt idx="410">
                  <c:v>1042.27</c:v>
                </c:pt>
                <c:pt idx="411">
                  <c:v>0</c:v>
                </c:pt>
                <c:pt idx="412">
                  <c:v>0</c:v>
                </c:pt>
                <c:pt idx="413">
                  <c:v>2667.69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49.93</c:v>
                </c:pt>
                <c:pt idx="427">
                  <c:v>0.82</c:v>
                </c:pt>
                <c:pt idx="428">
                  <c:v>381.45</c:v>
                </c:pt>
                <c:pt idx="429">
                  <c:v>0</c:v>
                </c:pt>
                <c:pt idx="430">
                  <c:v>11061.55</c:v>
                </c:pt>
                <c:pt idx="431">
                  <c:v>11233.28</c:v>
                </c:pt>
                <c:pt idx="432">
                  <c:v>1119.0999999999999</c:v>
                </c:pt>
                <c:pt idx="433">
                  <c:v>404.16</c:v>
                </c:pt>
                <c:pt idx="434">
                  <c:v>0</c:v>
                </c:pt>
                <c:pt idx="435">
                  <c:v>54.09</c:v>
                </c:pt>
                <c:pt idx="436">
                  <c:v>57.91</c:v>
                </c:pt>
                <c:pt idx="437">
                  <c:v>99.29</c:v>
                </c:pt>
                <c:pt idx="438">
                  <c:v>53.07</c:v>
                </c:pt>
                <c:pt idx="439">
                  <c:v>388.53</c:v>
                </c:pt>
                <c:pt idx="440">
                  <c:v>85.14</c:v>
                </c:pt>
                <c:pt idx="441">
                  <c:v>12310.41</c:v>
                </c:pt>
                <c:pt idx="442">
                  <c:v>1058.69</c:v>
                </c:pt>
                <c:pt idx="443">
                  <c:v>306.45</c:v>
                </c:pt>
                <c:pt idx="444">
                  <c:v>62.19</c:v>
                </c:pt>
                <c:pt idx="445">
                  <c:v>165.98</c:v>
                </c:pt>
                <c:pt idx="446">
                  <c:v>51.15</c:v>
                </c:pt>
                <c:pt idx="447">
                  <c:v>53.03</c:v>
                </c:pt>
                <c:pt idx="448">
                  <c:v>54.9</c:v>
                </c:pt>
                <c:pt idx="449">
                  <c:v>0.73</c:v>
                </c:pt>
                <c:pt idx="450">
                  <c:v>0.84</c:v>
                </c:pt>
                <c:pt idx="451">
                  <c:v>0.88</c:v>
                </c:pt>
                <c:pt idx="452">
                  <c:v>0.88</c:v>
                </c:pt>
                <c:pt idx="453">
                  <c:v>0.91</c:v>
                </c:pt>
                <c:pt idx="454">
                  <c:v>0.87</c:v>
                </c:pt>
                <c:pt idx="455">
                  <c:v>337.62</c:v>
                </c:pt>
                <c:pt idx="456">
                  <c:v>66.05</c:v>
                </c:pt>
                <c:pt idx="457">
                  <c:v>62.2</c:v>
                </c:pt>
                <c:pt idx="458">
                  <c:v>64.930000000000007</c:v>
                </c:pt>
                <c:pt idx="459">
                  <c:v>99.94</c:v>
                </c:pt>
                <c:pt idx="460">
                  <c:v>37.869999999999997</c:v>
                </c:pt>
                <c:pt idx="461">
                  <c:v>166.77</c:v>
                </c:pt>
                <c:pt idx="462">
                  <c:v>0</c:v>
                </c:pt>
                <c:pt idx="463">
                  <c:v>13894.82</c:v>
                </c:pt>
                <c:pt idx="464">
                  <c:v>318.63</c:v>
                </c:pt>
                <c:pt idx="465">
                  <c:v>71.650000000000006</c:v>
                </c:pt>
                <c:pt idx="466">
                  <c:v>20.98</c:v>
                </c:pt>
                <c:pt idx="467">
                  <c:v>66.98</c:v>
                </c:pt>
                <c:pt idx="468">
                  <c:v>53.98</c:v>
                </c:pt>
                <c:pt idx="469">
                  <c:v>104.3</c:v>
                </c:pt>
                <c:pt idx="470">
                  <c:v>0.78</c:v>
                </c:pt>
                <c:pt idx="471">
                  <c:v>88.01</c:v>
                </c:pt>
                <c:pt idx="472">
                  <c:v>328.48</c:v>
                </c:pt>
                <c:pt idx="473">
                  <c:v>73.33</c:v>
                </c:pt>
                <c:pt idx="474">
                  <c:v>293.48</c:v>
                </c:pt>
                <c:pt idx="475">
                  <c:v>160.03</c:v>
                </c:pt>
                <c:pt idx="476">
                  <c:v>170.1</c:v>
                </c:pt>
                <c:pt idx="477">
                  <c:v>174.91</c:v>
                </c:pt>
                <c:pt idx="478">
                  <c:v>51.95</c:v>
                </c:pt>
                <c:pt idx="479">
                  <c:v>31.71</c:v>
                </c:pt>
                <c:pt idx="480">
                  <c:v>0.88</c:v>
                </c:pt>
                <c:pt idx="481">
                  <c:v>0.91</c:v>
                </c:pt>
                <c:pt idx="482">
                  <c:v>0.94</c:v>
                </c:pt>
                <c:pt idx="483">
                  <c:v>0.9</c:v>
                </c:pt>
                <c:pt idx="484">
                  <c:v>14279.94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346.84</c:v>
                </c:pt>
                <c:pt idx="489">
                  <c:v>21.72</c:v>
                </c:pt>
                <c:pt idx="490">
                  <c:v>107.56</c:v>
                </c:pt>
                <c:pt idx="491">
                  <c:v>171.77</c:v>
                </c:pt>
                <c:pt idx="492">
                  <c:v>145.01</c:v>
                </c:pt>
                <c:pt idx="493">
                  <c:v>45.78</c:v>
                </c:pt>
                <c:pt idx="494">
                  <c:v>16.47</c:v>
                </c:pt>
                <c:pt idx="495">
                  <c:v>94.38</c:v>
                </c:pt>
                <c:pt idx="496">
                  <c:v>14687.67</c:v>
                </c:pt>
                <c:pt idx="497">
                  <c:v>376.82</c:v>
                </c:pt>
                <c:pt idx="498">
                  <c:v>23.14</c:v>
                </c:pt>
                <c:pt idx="499">
                  <c:v>282.83</c:v>
                </c:pt>
                <c:pt idx="500">
                  <c:v>108.11</c:v>
                </c:pt>
                <c:pt idx="501">
                  <c:v>44.36</c:v>
                </c:pt>
                <c:pt idx="502">
                  <c:v>40.869999999999997</c:v>
                </c:pt>
                <c:pt idx="503">
                  <c:v>166.6</c:v>
                </c:pt>
                <c:pt idx="504">
                  <c:v>12.6</c:v>
                </c:pt>
                <c:pt idx="505">
                  <c:v>16.37</c:v>
                </c:pt>
                <c:pt idx="506">
                  <c:v>21.35</c:v>
                </c:pt>
                <c:pt idx="507">
                  <c:v>22.44</c:v>
                </c:pt>
                <c:pt idx="508">
                  <c:v>11.08</c:v>
                </c:pt>
                <c:pt idx="509">
                  <c:v>4.68</c:v>
                </c:pt>
                <c:pt idx="510">
                  <c:v>4.93</c:v>
                </c:pt>
                <c:pt idx="511">
                  <c:v>5.35</c:v>
                </c:pt>
                <c:pt idx="512">
                  <c:v>5.58</c:v>
                </c:pt>
                <c:pt idx="513">
                  <c:v>5.48</c:v>
                </c:pt>
                <c:pt idx="514">
                  <c:v>4.4800000000000004</c:v>
                </c:pt>
                <c:pt idx="515">
                  <c:v>0</c:v>
                </c:pt>
                <c:pt idx="516">
                  <c:v>361.75</c:v>
                </c:pt>
                <c:pt idx="517">
                  <c:v>0</c:v>
                </c:pt>
                <c:pt idx="518">
                  <c:v>0.94</c:v>
                </c:pt>
                <c:pt idx="519">
                  <c:v>1.03</c:v>
                </c:pt>
                <c:pt idx="520">
                  <c:v>1.02</c:v>
                </c:pt>
                <c:pt idx="521">
                  <c:v>1.1100000000000001</c:v>
                </c:pt>
                <c:pt idx="522">
                  <c:v>77.17</c:v>
                </c:pt>
                <c:pt idx="523">
                  <c:v>77.63</c:v>
                </c:pt>
                <c:pt idx="524">
                  <c:v>311.88</c:v>
                </c:pt>
                <c:pt idx="525">
                  <c:v>334.2</c:v>
                </c:pt>
                <c:pt idx="526">
                  <c:v>99.29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94.49</c:v>
                </c:pt>
                <c:pt idx="539">
                  <c:v>89.01</c:v>
                </c:pt>
                <c:pt idx="540">
                  <c:v>85.35</c:v>
                </c:pt>
                <c:pt idx="541">
                  <c:v>0</c:v>
                </c:pt>
                <c:pt idx="542">
                  <c:v>71.16</c:v>
                </c:pt>
                <c:pt idx="543">
                  <c:v>23.44</c:v>
                </c:pt>
                <c:pt idx="544">
                  <c:v>24.07</c:v>
                </c:pt>
                <c:pt idx="545">
                  <c:v>323.11</c:v>
                </c:pt>
                <c:pt idx="546">
                  <c:v>47.11</c:v>
                </c:pt>
                <c:pt idx="547">
                  <c:v>184.39</c:v>
                </c:pt>
                <c:pt idx="548">
                  <c:v>137.28</c:v>
                </c:pt>
                <c:pt idx="549">
                  <c:v>0</c:v>
                </c:pt>
                <c:pt idx="550">
                  <c:v>87.13</c:v>
                </c:pt>
                <c:pt idx="551">
                  <c:v>75.7</c:v>
                </c:pt>
                <c:pt idx="552">
                  <c:v>80</c:v>
                </c:pt>
                <c:pt idx="553">
                  <c:v>25.09</c:v>
                </c:pt>
                <c:pt idx="554">
                  <c:v>270.3</c:v>
                </c:pt>
                <c:pt idx="555">
                  <c:v>42.16</c:v>
                </c:pt>
                <c:pt idx="556">
                  <c:v>187.22</c:v>
                </c:pt>
                <c:pt idx="557">
                  <c:v>166.81</c:v>
                </c:pt>
                <c:pt idx="558">
                  <c:v>179.34</c:v>
                </c:pt>
                <c:pt idx="559">
                  <c:v>181.67</c:v>
                </c:pt>
                <c:pt idx="560">
                  <c:v>171.08</c:v>
                </c:pt>
                <c:pt idx="561">
                  <c:v>0</c:v>
                </c:pt>
                <c:pt idx="562">
                  <c:v>91.37</c:v>
                </c:pt>
                <c:pt idx="563">
                  <c:v>0.54</c:v>
                </c:pt>
                <c:pt idx="564">
                  <c:v>0.57999999999999996</c:v>
                </c:pt>
                <c:pt idx="565">
                  <c:v>0.52</c:v>
                </c:pt>
                <c:pt idx="566">
                  <c:v>85.56</c:v>
                </c:pt>
                <c:pt idx="567">
                  <c:v>88.94</c:v>
                </c:pt>
                <c:pt idx="568">
                  <c:v>78.84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1.25</c:v>
                </c:pt>
                <c:pt idx="574">
                  <c:v>1.26</c:v>
                </c:pt>
                <c:pt idx="575">
                  <c:v>1.19</c:v>
                </c:pt>
                <c:pt idx="576">
                  <c:v>5.13</c:v>
                </c:pt>
                <c:pt idx="577">
                  <c:v>0</c:v>
                </c:pt>
                <c:pt idx="578">
                  <c:v>48.17</c:v>
                </c:pt>
                <c:pt idx="579">
                  <c:v>358.79</c:v>
                </c:pt>
                <c:pt idx="580">
                  <c:v>365.18</c:v>
                </c:pt>
                <c:pt idx="581">
                  <c:v>337.34</c:v>
                </c:pt>
                <c:pt idx="582">
                  <c:v>96.85</c:v>
                </c:pt>
                <c:pt idx="583">
                  <c:v>24.19</c:v>
                </c:pt>
                <c:pt idx="584">
                  <c:v>23.83</c:v>
                </c:pt>
                <c:pt idx="585">
                  <c:v>1802.21</c:v>
                </c:pt>
                <c:pt idx="586">
                  <c:v>1795.7</c:v>
                </c:pt>
                <c:pt idx="587">
                  <c:v>3.32</c:v>
                </c:pt>
                <c:pt idx="588">
                  <c:v>14.95</c:v>
                </c:pt>
                <c:pt idx="589">
                  <c:v>0</c:v>
                </c:pt>
                <c:pt idx="590">
                  <c:v>301.35000000000002</c:v>
                </c:pt>
                <c:pt idx="591">
                  <c:v>301.26</c:v>
                </c:pt>
                <c:pt idx="592">
                  <c:v>319.11</c:v>
                </c:pt>
                <c:pt idx="593">
                  <c:v>0</c:v>
                </c:pt>
                <c:pt idx="594">
                  <c:v>42.69</c:v>
                </c:pt>
                <c:pt idx="595">
                  <c:v>42.69</c:v>
                </c:pt>
                <c:pt idx="596">
                  <c:v>227.37</c:v>
                </c:pt>
                <c:pt idx="597">
                  <c:v>0</c:v>
                </c:pt>
                <c:pt idx="598">
                  <c:v>0</c:v>
                </c:pt>
                <c:pt idx="599">
                  <c:v>4.71</c:v>
                </c:pt>
                <c:pt idx="600">
                  <c:v>4.91</c:v>
                </c:pt>
                <c:pt idx="601">
                  <c:v>100.05</c:v>
                </c:pt>
                <c:pt idx="602">
                  <c:v>1</c:v>
                </c:pt>
                <c:pt idx="603">
                  <c:v>1.06</c:v>
                </c:pt>
                <c:pt idx="604">
                  <c:v>1.1299999999999999</c:v>
                </c:pt>
                <c:pt idx="605">
                  <c:v>0</c:v>
                </c:pt>
                <c:pt idx="606">
                  <c:v>24.98</c:v>
                </c:pt>
                <c:pt idx="607">
                  <c:v>4.28</c:v>
                </c:pt>
                <c:pt idx="608">
                  <c:v>41.91</c:v>
                </c:pt>
                <c:pt idx="609">
                  <c:v>15.14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1.42</c:v>
                </c:pt>
                <c:pt idx="616">
                  <c:v>1.49</c:v>
                </c:pt>
                <c:pt idx="617">
                  <c:v>1.57</c:v>
                </c:pt>
                <c:pt idx="618">
                  <c:v>1.64</c:v>
                </c:pt>
                <c:pt idx="619">
                  <c:v>2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103.43</c:v>
                </c:pt>
                <c:pt idx="625">
                  <c:v>107.35</c:v>
                </c:pt>
                <c:pt idx="626">
                  <c:v>0</c:v>
                </c:pt>
                <c:pt idx="627">
                  <c:v>0</c:v>
                </c:pt>
                <c:pt idx="628">
                  <c:v>2063.5100000000002</c:v>
                </c:pt>
                <c:pt idx="629">
                  <c:v>36.21</c:v>
                </c:pt>
                <c:pt idx="630">
                  <c:v>3.59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1171.8699999999999</c:v>
                </c:pt>
                <c:pt idx="636">
                  <c:v>4.4800000000000004</c:v>
                </c:pt>
                <c:pt idx="637">
                  <c:v>4.75</c:v>
                </c:pt>
                <c:pt idx="638">
                  <c:v>4.79</c:v>
                </c:pt>
                <c:pt idx="639">
                  <c:v>5.17</c:v>
                </c:pt>
                <c:pt idx="640">
                  <c:v>5.47</c:v>
                </c:pt>
                <c:pt idx="641">
                  <c:v>4</c:v>
                </c:pt>
                <c:pt idx="642">
                  <c:v>53.27</c:v>
                </c:pt>
                <c:pt idx="643">
                  <c:v>16.239999999999998</c:v>
                </c:pt>
                <c:pt idx="644">
                  <c:v>17.600000000000001</c:v>
                </c:pt>
                <c:pt idx="645">
                  <c:v>17.47</c:v>
                </c:pt>
                <c:pt idx="646">
                  <c:v>15.84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2.16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1.34</c:v>
                </c:pt>
                <c:pt idx="655">
                  <c:v>1.44</c:v>
                </c:pt>
                <c:pt idx="656">
                  <c:v>1.47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26.02</c:v>
                </c:pt>
                <c:pt idx="661">
                  <c:v>26.88</c:v>
                </c:pt>
                <c:pt idx="662">
                  <c:v>24.56</c:v>
                </c:pt>
                <c:pt idx="663">
                  <c:v>1916.95</c:v>
                </c:pt>
                <c:pt idx="664">
                  <c:v>48.72</c:v>
                </c:pt>
                <c:pt idx="665">
                  <c:v>42.54</c:v>
                </c:pt>
                <c:pt idx="666">
                  <c:v>233.64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1.68</c:v>
                </c:pt>
                <c:pt idx="678">
                  <c:v>195.08</c:v>
                </c:pt>
                <c:pt idx="679">
                  <c:v>265.24</c:v>
                </c:pt>
                <c:pt idx="680">
                  <c:v>293.75</c:v>
                </c:pt>
                <c:pt idx="681">
                  <c:v>321.38</c:v>
                </c:pt>
                <c:pt idx="682">
                  <c:v>2.4500000000000002</c:v>
                </c:pt>
                <c:pt idx="683">
                  <c:v>2.4500000000000002</c:v>
                </c:pt>
                <c:pt idx="684">
                  <c:v>2.54</c:v>
                </c:pt>
                <c:pt idx="685">
                  <c:v>2.33</c:v>
                </c:pt>
                <c:pt idx="686">
                  <c:v>0</c:v>
                </c:pt>
                <c:pt idx="687">
                  <c:v>2.21</c:v>
                </c:pt>
                <c:pt idx="688">
                  <c:v>1078.49</c:v>
                </c:pt>
                <c:pt idx="689">
                  <c:v>594.75</c:v>
                </c:pt>
                <c:pt idx="690">
                  <c:v>557.53</c:v>
                </c:pt>
                <c:pt idx="691">
                  <c:v>1873.27</c:v>
                </c:pt>
                <c:pt idx="692">
                  <c:v>4.0199999999999996</c:v>
                </c:pt>
                <c:pt idx="693">
                  <c:v>57.24</c:v>
                </c:pt>
                <c:pt idx="694">
                  <c:v>35.799999999999997</c:v>
                </c:pt>
                <c:pt idx="695">
                  <c:v>86.2</c:v>
                </c:pt>
                <c:pt idx="696">
                  <c:v>86.14</c:v>
                </c:pt>
                <c:pt idx="697">
                  <c:v>351.24</c:v>
                </c:pt>
                <c:pt idx="698">
                  <c:v>373.9</c:v>
                </c:pt>
                <c:pt idx="699">
                  <c:v>2.2599999999999998</c:v>
                </c:pt>
                <c:pt idx="700">
                  <c:v>36.090000000000003</c:v>
                </c:pt>
                <c:pt idx="701">
                  <c:v>184.37</c:v>
                </c:pt>
                <c:pt idx="702">
                  <c:v>0</c:v>
                </c:pt>
                <c:pt idx="703">
                  <c:v>36.17</c:v>
                </c:pt>
                <c:pt idx="704">
                  <c:v>62.08</c:v>
                </c:pt>
                <c:pt idx="705">
                  <c:v>52.63</c:v>
                </c:pt>
                <c:pt idx="706">
                  <c:v>59.91</c:v>
                </c:pt>
                <c:pt idx="707">
                  <c:v>59.89</c:v>
                </c:pt>
                <c:pt idx="708">
                  <c:v>2.96</c:v>
                </c:pt>
                <c:pt idx="709">
                  <c:v>2.98</c:v>
                </c:pt>
                <c:pt idx="710">
                  <c:v>4.72</c:v>
                </c:pt>
                <c:pt idx="711">
                  <c:v>4.83</c:v>
                </c:pt>
                <c:pt idx="712">
                  <c:v>4.9800000000000004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26.85</c:v>
                </c:pt>
                <c:pt idx="720">
                  <c:v>2.29</c:v>
                </c:pt>
                <c:pt idx="721">
                  <c:v>1158.9100000000001</c:v>
                </c:pt>
                <c:pt idx="722">
                  <c:v>2.91</c:v>
                </c:pt>
                <c:pt idx="723">
                  <c:v>64.23</c:v>
                </c:pt>
                <c:pt idx="724">
                  <c:v>64.52</c:v>
                </c:pt>
                <c:pt idx="725">
                  <c:v>61.23</c:v>
                </c:pt>
                <c:pt idx="726">
                  <c:v>53.56</c:v>
                </c:pt>
                <c:pt idx="727">
                  <c:v>49.91</c:v>
                </c:pt>
                <c:pt idx="728">
                  <c:v>8.74</c:v>
                </c:pt>
                <c:pt idx="729">
                  <c:v>8.7200000000000006</c:v>
                </c:pt>
                <c:pt idx="730">
                  <c:v>0</c:v>
                </c:pt>
                <c:pt idx="731">
                  <c:v>2.31</c:v>
                </c:pt>
                <c:pt idx="732">
                  <c:v>2.42</c:v>
                </c:pt>
                <c:pt idx="733">
                  <c:v>2.08</c:v>
                </c:pt>
                <c:pt idx="734">
                  <c:v>1222.4100000000001</c:v>
                </c:pt>
                <c:pt idx="735">
                  <c:v>1448.56</c:v>
                </c:pt>
                <c:pt idx="736">
                  <c:v>38.590000000000003</c:v>
                </c:pt>
                <c:pt idx="737">
                  <c:v>39.89</c:v>
                </c:pt>
                <c:pt idx="738">
                  <c:v>41.61</c:v>
                </c:pt>
                <c:pt idx="739">
                  <c:v>43.37</c:v>
                </c:pt>
                <c:pt idx="740">
                  <c:v>44.99</c:v>
                </c:pt>
                <c:pt idx="741">
                  <c:v>44.18</c:v>
                </c:pt>
                <c:pt idx="742">
                  <c:v>0</c:v>
                </c:pt>
                <c:pt idx="743">
                  <c:v>37.93</c:v>
                </c:pt>
                <c:pt idx="744">
                  <c:v>1269.01</c:v>
                </c:pt>
                <c:pt idx="745">
                  <c:v>0.44</c:v>
                </c:pt>
                <c:pt idx="746">
                  <c:v>0.42</c:v>
                </c:pt>
                <c:pt idx="747">
                  <c:v>0.46</c:v>
                </c:pt>
                <c:pt idx="748">
                  <c:v>0.49</c:v>
                </c:pt>
                <c:pt idx="749">
                  <c:v>0.51</c:v>
                </c:pt>
                <c:pt idx="750">
                  <c:v>4.1100000000000003</c:v>
                </c:pt>
                <c:pt idx="751">
                  <c:v>4.38</c:v>
                </c:pt>
                <c:pt idx="752">
                  <c:v>4444.93</c:v>
                </c:pt>
                <c:pt idx="753">
                  <c:v>5003.68</c:v>
                </c:pt>
                <c:pt idx="754">
                  <c:v>4930.84</c:v>
                </c:pt>
                <c:pt idx="755">
                  <c:v>5037.84</c:v>
                </c:pt>
                <c:pt idx="756">
                  <c:v>5123.32</c:v>
                </c:pt>
                <c:pt idx="757">
                  <c:v>5040.1099999999997</c:v>
                </c:pt>
                <c:pt idx="758">
                  <c:v>0</c:v>
                </c:pt>
                <c:pt idx="759">
                  <c:v>1556.51</c:v>
                </c:pt>
                <c:pt idx="760">
                  <c:v>1527.99</c:v>
                </c:pt>
                <c:pt idx="761">
                  <c:v>1649.27</c:v>
                </c:pt>
                <c:pt idx="762">
                  <c:v>1725.33</c:v>
                </c:pt>
                <c:pt idx="763">
                  <c:v>1742.02</c:v>
                </c:pt>
                <c:pt idx="764">
                  <c:v>1645.42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5.0999999999999996</c:v>
                </c:pt>
                <c:pt idx="772">
                  <c:v>5.32</c:v>
                </c:pt>
                <c:pt idx="773">
                  <c:v>4.67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103.38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23.5</c:v>
                </c:pt>
                <c:pt idx="782">
                  <c:v>23.8</c:v>
                </c:pt>
                <c:pt idx="783">
                  <c:v>24.32</c:v>
                </c:pt>
                <c:pt idx="784">
                  <c:v>23.85</c:v>
                </c:pt>
                <c:pt idx="785">
                  <c:v>21.06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56.44</c:v>
                </c:pt>
                <c:pt idx="793">
                  <c:v>242.5</c:v>
                </c:pt>
                <c:pt idx="794">
                  <c:v>67.16</c:v>
                </c:pt>
                <c:pt idx="795">
                  <c:v>9.17</c:v>
                </c:pt>
                <c:pt idx="796">
                  <c:v>9.85</c:v>
                </c:pt>
                <c:pt idx="797">
                  <c:v>9.44</c:v>
                </c:pt>
                <c:pt idx="798">
                  <c:v>9.44</c:v>
                </c:pt>
                <c:pt idx="799">
                  <c:v>0</c:v>
                </c:pt>
                <c:pt idx="800">
                  <c:v>0.48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40.770000000000003</c:v>
                </c:pt>
                <c:pt idx="814">
                  <c:v>4.75</c:v>
                </c:pt>
                <c:pt idx="815">
                  <c:v>5.3</c:v>
                </c:pt>
                <c:pt idx="816">
                  <c:v>401.3</c:v>
                </c:pt>
                <c:pt idx="817">
                  <c:v>413.37</c:v>
                </c:pt>
                <c:pt idx="818">
                  <c:v>0</c:v>
                </c:pt>
                <c:pt idx="819">
                  <c:v>1090.52</c:v>
                </c:pt>
                <c:pt idx="820">
                  <c:v>39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5.61</c:v>
                </c:pt>
                <c:pt idx="828">
                  <c:v>3.75</c:v>
                </c:pt>
                <c:pt idx="829">
                  <c:v>12.93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58.85</c:v>
                </c:pt>
                <c:pt idx="834">
                  <c:v>249.3</c:v>
                </c:pt>
                <c:pt idx="835">
                  <c:v>40.229999999999997</c:v>
                </c:pt>
                <c:pt idx="836">
                  <c:v>37.93</c:v>
                </c:pt>
                <c:pt idx="837">
                  <c:v>35.43</c:v>
                </c:pt>
                <c:pt idx="838">
                  <c:v>10.55</c:v>
                </c:pt>
                <c:pt idx="839">
                  <c:v>10.55</c:v>
                </c:pt>
                <c:pt idx="840">
                  <c:v>45.23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11.4</c:v>
                </c:pt>
                <c:pt idx="848">
                  <c:v>12.13</c:v>
                </c:pt>
                <c:pt idx="849">
                  <c:v>13.57</c:v>
                </c:pt>
                <c:pt idx="850">
                  <c:v>13.47</c:v>
                </c:pt>
                <c:pt idx="851">
                  <c:v>12.01</c:v>
                </c:pt>
                <c:pt idx="852">
                  <c:v>308</c:v>
                </c:pt>
                <c:pt idx="853">
                  <c:v>318.83</c:v>
                </c:pt>
                <c:pt idx="854">
                  <c:v>343.19</c:v>
                </c:pt>
                <c:pt idx="855">
                  <c:v>377</c:v>
                </c:pt>
                <c:pt idx="856">
                  <c:v>375.47</c:v>
                </c:pt>
                <c:pt idx="857">
                  <c:v>345.3</c:v>
                </c:pt>
                <c:pt idx="858">
                  <c:v>456.36</c:v>
                </c:pt>
                <c:pt idx="859">
                  <c:v>506.75</c:v>
                </c:pt>
                <c:pt idx="860">
                  <c:v>544.08000000000004</c:v>
                </c:pt>
                <c:pt idx="861">
                  <c:v>499.68</c:v>
                </c:pt>
                <c:pt idx="862">
                  <c:v>6.65</c:v>
                </c:pt>
                <c:pt idx="863">
                  <c:v>6.9</c:v>
                </c:pt>
                <c:pt idx="864">
                  <c:v>7.14</c:v>
                </c:pt>
                <c:pt idx="865">
                  <c:v>7.23</c:v>
                </c:pt>
                <c:pt idx="866">
                  <c:v>7.42</c:v>
                </c:pt>
                <c:pt idx="867">
                  <c:v>6.89</c:v>
                </c:pt>
                <c:pt idx="868">
                  <c:v>2.5</c:v>
                </c:pt>
                <c:pt idx="869">
                  <c:v>2.71</c:v>
                </c:pt>
                <c:pt idx="870">
                  <c:v>2.85</c:v>
                </c:pt>
                <c:pt idx="871">
                  <c:v>3.06</c:v>
                </c:pt>
                <c:pt idx="872">
                  <c:v>2.99</c:v>
                </c:pt>
                <c:pt idx="873">
                  <c:v>3.08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104.34</c:v>
                </c:pt>
                <c:pt idx="894">
                  <c:v>103.45</c:v>
                </c:pt>
                <c:pt idx="895">
                  <c:v>100.96</c:v>
                </c:pt>
                <c:pt idx="896">
                  <c:v>105.13</c:v>
                </c:pt>
                <c:pt idx="897">
                  <c:v>103.02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60.52</c:v>
                </c:pt>
                <c:pt idx="911">
                  <c:v>62.42</c:v>
                </c:pt>
                <c:pt idx="912">
                  <c:v>64.42</c:v>
                </c:pt>
                <c:pt idx="913">
                  <c:v>62.16</c:v>
                </c:pt>
                <c:pt idx="914">
                  <c:v>643.63</c:v>
                </c:pt>
                <c:pt idx="915">
                  <c:v>524.82000000000005</c:v>
                </c:pt>
                <c:pt idx="916">
                  <c:v>447.75</c:v>
                </c:pt>
                <c:pt idx="917">
                  <c:v>385.54</c:v>
                </c:pt>
                <c:pt idx="918">
                  <c:v>276.36</c:v>
                </c:pt>
                <c:pt idx="919">
                  <c:v>295.39999999999998</c:v>
                </c:pt>
                <c:pt idx="920">
                  <c:v>278.58</c:v>
                </c:pt>
                <c:pt idx="921">
                  <c:v>252.73</c:v>
                </c:pt>
                <c:pt idx="922">
                  <c:v>76.680000000000007</c:v>
                </c:pt>
                <c:pt idx="923">
                  <c:v>69.25</c:v>
                </c:pt>
                <c:pt idx="924">
                  <c:v>50.36</c:v>
                </c:pt>
                <c:pt idx="925">
                  <c:v>11.53</c:v>
                </c:pt>
                <c:pt idx="926">
                  <c:v>12.46</c:v>
                </c:pt>
                <c:pt idx="927">
                  <c:v>13.62</c:v>
                </c:pt>
                <c:pt idx="928">
                  <c:v>12.64</c:v>
                </c:pt>
                <c:pt idx="929">
                  <c:v>31.05</c:v>
                </c:pt>
                <c:pt idx="930">
                  <c:v>32.229999999999997</c:v>
                </c:pt>
                <c:pt idx="931">
                  <c:v>35.47</c:v>
                </c:pt>
                <c:pt idx="932">
                  <c:v>37.799999999999997</c:v>
                </c:pt>
                <c:pt idx="933">
                  <c:v>38.65</c:v>
                </c:pt>
                <c:pt idx="934">
                  <c:v>34.72</c:v>
                </c:pt>
                <c:pt idx="935">
                  <c:v>19.91</c:v>
                </c:pt>
                <c:pt idx="936">
                  <c:v>21.05</c:v>
                </c:pt>
                <c:pt idx="937">
                  <c:v>22.95</c:v>
                </c:pt>
                <c:pt idx="938">
                  <c:v>25.6</c:v>
                </c:pt>
                <c:pt idx="939">
                  <c:v>25.94</c:v>
                </c:pt>
                <c:pt idx="940">
                  <c:v>25.01</c:v>
                </c:pt>
                <c:pt idx="941">
                  <c:v>303.41000000000003</c:v>
                </c:pt>
                <c:pt idx="942">
                  <c:v>322.10000000000002</c:v>
                </c:pt>
                <c:pt idx="943">
                  <c:v>358.25</c:v>
                </c:pt>
                <c:pt idx="944">
                  <c:v>376.69</c:v>
                </c:pt>
                <c:pt idx="945">
                  <c:v>402.47</c:v>
                </c:pt>
                <c:pt idx="946">
                  <c:v>413.27</c:v>
                </c:pt>
                <c:pt idx="947">
                  <c:v>114.57</c:v>
                </c:pt>
                <c:pt idx="948">
                  <c:v>109.42</c:v>
                </c:pt>
                <c:pt idx="949">
                  <c:v>120.71</c:v>
                </c:pt>
                <c:pt idx="950">
                  <c:v>138.18</c:v>
                </c:pt>
                <c:pt idx="951">
                  <c:v>136.19999999999999</c:v>
                </c:pt>
                <c:pt idx="952">
                  <c:v>105.96</c:v>
                </c:pt>
                <c:pt idx="953">
                  <c:v>161.74</c:v>
                </c:pt>
                <c:pt idx="954">
                  <c:v>151.72999999999999</c:v>
                </c:pt>
                <c:pt idx="955">
                  <c:v>161.1</c:v>
                </c:pt>
                <c:pt idx="956">
                  <c:v>183.33</c:v>
                </c:pt>
                <c:pt idx="957">
                  <c:v>175.84</c:v>
                </c:pt>
                <c:pt idx="958">
                  <c:v>144.41</c:v>
                </c:pt>
                <c:pt idx="959">
                  <c:v>654.27</c:v>
                </c:pt>
                <c:pt idx="960">
                  <c:v>644.94000000000005</c:v>
                </c:pt>
                <c:pt idx="961">
                  <c:v>688.59</c:v>
                </c:pt>
                <c:pt idx="962">
                  <c:v>816.58</c:v>
                </c:pt>
                <c:pt idx="963">
                  <c:v>803.62</c:v>
                </c:pt>
                <c:pt idx="964">
                  <c:v>703.37</c:v>
                </c:pt>
                <c:pt idx="965">
                  <c:v>370.28</c:v>
                </c:pt>
                <c:pt idx="966">
                  <c:v>369.26</c:v>
                </c:pt>
                <c:pt idx="967">
                  <c:v>390.52</c:v>
                </c:pt>
                <c:pt idx="968">
                  <c:v>427.05</c:v>
                </c:pt>
                <c:pt idx="969">
                  <c:v>417.99</c:v>
                </c:pt>
                <c:pt idx="970">
                  <c:v>349.47</c:v>
                </c:pt>
                <c:pt idx="971">
                  <c:v>1350.62</c:v>
                </c:pt>
                <c:pt idx="972">
                  <c:v>1206.54</c:v>
                </c:pt>
                <c:pt idx="973">
                  <c:v>1326.52</c:v>
                </c:pt>
                <c:pt idx="974">
                  <c:v>1428.29</c:v>
                </c:pt>
                <c:pt idx="975">
                  <c:v>1392.23</c:v>
                </c:pt>
                <c:pt idx="976">
                  <c:v>1326.9</c:v>
                </c:pt>
                <c:pt idx="977">
                  <c:v>178.06</c:v>
                </c:pt>
                <c:pt idx="978">
                  <c:v>188.84</c:v>
                </c:pt>
                <c:pt idx="979">
                  <c:v>206.62</c:v>
                </c:pt>
                <c:pt idx="980">
                  <c:v>211.95</c:v>
                </c:pt>
                <c:pt idx="981">
                  <c:v>213.43</c:v>
                </c:pt>
                <c:pt idx="982">
                  <c:v>211.73</c:v>
                </c:pt>
                <c:pt idx="983">
                  <c:v>5.8</c:v>
                </c:pt>
                <c:pt idx="984">
                  <c:v>5.9</c:v>
                </c:pt>
                <c:pt idx="985">
                  <c:v>6.01</c:v>
                </c:pt>
                <c:pt idx="986">
                  <c:v>6.06</c:v>
                </c:pt>
                <c:pt idx="987">
                  <c:v>6.37</c:v>
                </c:pt>
                <c:pt idx="988">
                  <c:v>5.89</c:v>
                </c:pt>
                <c:pt idx="989">
                  <c:v>0.09</c:v>
                </c:pt>
                <c:pt idx="990">
                  <c:v>0.1</c:v>
                </c:pt>
                <c:pt idx="991">
                  <c:v>0.11</c:v>
                </c:pt>
                <c:pt idx="992">
                  <c:v>0.12</c:v>
                </c:pt>
                <c:pt idx="993">
                  <c:v>0.12</c:v>
                </c:pt>
                <c:pt idx="994">
                  <c:v>0.11</c:v>
                </c:pt>
                <c:pt idx="995">
                  <c:v>0.91</c:v>
                </c:pt>
                <c:pt idx="996">
                  <c:v>1.23</c:v>
                </c:pt>
                <c:pt idx="997">
                  <c:v>1.56</c:v>
                </c:pt>
                <c:pt idx="998">
                  <c:v>1.3</c:v>
                </c:pt>
                <c:pt idx="999">
                  <c:v>1.18</c:v>
                </c:pt>
                <c:pt idx="1000">
                  <c:v>0</c:v>
                </c:pt>
                <c:pt idx="1001">
                  <c:v>0.28000000000000003</c:v>
                </c:pt>
                <c:pt idx="1002">
                  <c:v>0.3</c:v>
                </c:pt>
                <c:pt idx="1003">
                  <c:v>0.28999999999999998</c:v>
                </c:pt>
                <c:pt idx="1004">
                  <c:v>0.28000000000000003</c:v>
                </c:pt>
                <c:pt idx="1005">
                  <c:v>0.28000000000000003</c:v>
                </c:pt>
                <c:pt idx="1006">
                  <c:v>0.25</c:v>
                </c:pt>
                <c:pt idx="1007">
                  <c:v>0.67</c:v>
                </c:pt>
                <c:pt idx="1008">
                  <c:v>0.67</c:v>
                </c:pt>
                <c:pt idx="1009">
                  <c:v>0.61</c:v>
                </c:pt>
                <c:pt idx="1010">
                  <c:v>0.64</c:v>
                </c:pt>
                <c:pt idx="1011">
                  <c:v>0.65</c:v>
                </c:pt>
                <c:pt idx="1012">
                  <c:v>0.72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5.33</c:v>
                </c:pt>
                <c:pt idx="1020">
                  <c:v>5.5</c:v>
                </c:pt>
                <c:pt idx="1021">
                  <c:v>5.83</c:v>
                </c:pt>
                <c:pt idx="1022">
                  <c:v>6.14</c:v>
                </c:pt>
                <c:pt idx="1023">
                  <c:v>6</c:v>
                </c:pt>
                <c:pt idx="1024">
                  <c:v>5.71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0.04</c:v>
                </c:pt>
                <c:pt idx="1031">
                  <c:v>0.04</c:v>
                </c:pt>
                <c:pt idx="1032">
                  <c:v>0.05</c:v>
                </c:pt>
                <c:pt idx="1033">
                  <c:v>0.05</c:v>
                </c:pt>
                <c:pt idx="1034">
                  <c:v>0.05</c:v>
                </c:pt>
                <c:pt idx="1035">
                  <c:v>0.06</c:v>
                </c:pt>
                <c:pt idx="1036">
                  <c:v>12.01</c:v>
                </c:pt>
                <c:pt idx="1037">
                  <c:v>12.59</c:v>
                </c:pt>
                <c:pt idx="1038">
                  <c:v>13.71</c:v>
                </c:pt>
                <c:pt idx="1039">
                  <c:v>14.74</c:v>
                </c:pt>
                <c:pt idx="1040">
                  <c:v>14.44</c:v>
                </c:pt>
                <c:pt idx="1041">
                  <c:v>11.4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248-4DE4-9ED3-96586C6715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5350959"/>
        <c:axId val="1779562319"/>
      </c:scatterChart>
      <c:valAx>
        <c:axId val="17853509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9562319"/>
        <c:crosses val="autoZero"/>
        <c:crossBetween val="midCat"/>
      </c:valAx>
      <c:valAx>
        <c:axId val="17795623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535095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[Un.Access_to_basic_services_clean.xlsx]Regional Comparison!PivotTable2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Regional Comparison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'Regional Comparison'!$B$3</c:f>
              <c:strCache>
                <c:ptCount val="1"/>
                <c:pt idx="0">
                  <c:v>Avg of Est_gdp_in_billions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'Regional Comparison'!$A$4:$A$11</c:f>
              <c:strCache>
                <c:ptCount val="7"/>
                <c:pt idx="0">
                  <c:v>Central and Southern Asia</c:v>
                </c:pt>
                <c:pt idx="1">
                  <c:v>Eastern and South-Eastern Asia</c:v>
                </c:pt>
                <c:pt idx="2">
                  <c:v>Europe and Northern America</c:v>
                </c:pt>
                <c:pt idx="3">
                  <c:v>Latin America and the Caribbean</c:v>
                </c:pt>
                <c:pt idx="4">
                  <c:v>Northern Africa and Western Asia</c:v>
                </c:pt>
                <c:pt idx="5">
                  <c:v>Oceania</c:v>
                </c:pt>
                <c:pt idx="6">
                  <c:v>Sub-Saharan Africa</c:v>
                </c:pt>
              </c:strCache>
            </c:strRef>
          </c:cat>
          <c:val>
            <c:numRef>
              <c:f>'Regional Comparison'!$B$4:$B$11</c:f>
              <c:numCache>
                <c:formatCode>General</c:formatCode>
                <c:ptCount val="7"/>
                <c:pt idx="0">
                  <c:v>302.74619718309862</c:v>
                </c:pt>
                <c:pt idx="1">
                  <c:v>1703.9798611111105</c:v>
                </c:pt>
                <c:pt idx="2">
                  <c:v>550.33111111111111</c:v>
                </c:pt>
                <c:pt idx="3">
                  <c:v>179.73182352941186</c:v>
                </c:pt>
                <c:pt idx="4">
                  <c:v>136.18858333333336</c:v>
                </c:pt>
                <c:pt idx="5">
                  <c:v>89.469906542056066</c:v>
                </c:pt>
                <c:pt idx="6">
                  <c:v>36.321900826446267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04-4132-9349-D8DF0DF46CF9}"/>
            </c:ext>
          </c:extLst>
        </c:ser>
        <c:ser>
          <c:idx val="1"/>
          <c:order val="1"/>
          <c:tx>
            <c:strRef>
              <c:f>'Regional Comparison'!$C$3</c:f>
              <c:strCache>
                <c:ptCount val="1"/>
                <c:pt idx="0">
                  <c:v>Avg of Pct_managed_sanitation_services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'Regional Comparison'!$A$4:$A$11</c:f>
              <c:strCache>
                <c:ptCount val="7"/>
                <c:pt idx="0">
                  <c:v>Central and Southern Asia</c:v>
                </c:pt>
                <c:pt idx="1">
                  <c:v>Eastern and South-Eastern Asia</c:v>
                </c:pt>
                <c:pt idx="2">
                  <c:v>Europe and Northern America</c:v>
                </c:pt>
                <c:pt idx="3">
                  <c:v>Latin America and the Caribbean</c:v>
                </c:pt>
                <c:pt idx="4">
                  <c:v>Northern Africa and Western Asia</c:v>
                </c:pt>
                <c:pt idx="5">
                  <c:v>Oceania</c:v>
                </c:pt>
                <c:pt idx="6">
                  <c:v>Sub-Saharan Africa</c:v>
                </c:pt>
              </c:strCache>
            </c:strRef>
          </c:cat>
          <c:val>
            <c:numRef>
              <c:f>'Regional Comparison'!$C$4:$C$11</c:f>
              <c:numCache>
                <c:formatCode>General</c:formatCode>
                <c:ptCount val="7"/>
                <c:pt idx="0">
                  <c:v>81.472261904761908</c:v>
                </c:pt>
                <c:pt idx="1">
                  <c:v>83.549560439560437</c:v>
                </c:pt>
                <c:pt idx="2">
                  <c:v>99.734000000000009</c:v>
                </c:pt>
                <c:pt idx="3">
                  <c:v>87.841093750000127</c:v>
                </c:pt>
                <c:pt idx="4">
                  <c:v>91.298472222222216</c:v>
                </c:pt>
                <c:pt idx="5">
                  <c:v>81.789375000000007</c:v>
                </c:pt>
                <c:pt idx="6">
                  <c:v>41.605185185185192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304-4132-9349-D8DF0DF46CF9}"/>
            </c:ext>
          </c:extLst>
        </c:ser>
        <c:ser>
          <c:idx val="2"/>
          <c:order val="2"/>
          <c:tx>
            <c:strRef>
              <c:f>'Regional Comparison'!$D$3</c:f>
              <c:strCache>
                <c:ptCount val="1"/>
                <c:pt idx="0">
                  <c:v>Avg of Pct_unemployment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'Regional Comparison'!$A$4:$A$11</c:f>
              <c:strCache>
                <c:ptCount val="7"/>
                <c:pt idx="0">
                  <c:v>Central and Southern Asia</c:v>
                </c:pt>
                <c:pt idx="1">
                  <c:v>Eastern and South-Eastern Asia</c:v>
                </c:pt>
                <c:pt idx="2">
                  <c:v>Europe and Northern America</c:v>
                </c:pt>
                <c:pt idx="3">
                  <c:v>Latin America and the Caribbean</c:v>
                </c:pt>
                <c:pt idx="4">
                  <c:v>Northern Africa and Western Asia</c:v>
                </c:pt>
                <c:pt idx="5">
                  <c:v>Oceania</c:v>
                </c:pt>
                <c:pt idx="6">
                  <c:v>Sub-Saharan Africa</c:v>
                </c:pt>
              </c:strCache>
            </c:strRef>
          </c:cat>
          <c:val>
            <c:numRef>
              <c:f>'Regional Comparison'!$D$4:$D$11</c:f>
              <c:numCache>
                <c:formatCode>General</c:formatCode>
                <c:ptCount val="7"/>
                <c:pt idx="0">
                  <c:v>5.5918918918918932</c:v>
                </c:pt>
                <c:pt idx="1">
                  <c:v>3.4705084745762713</c:v>
                </c:pt>
                <c:pt idx="2">
                  <c:v>7.1857142857142859</c:v>
                </c:pt>
                <c:pt idx="3">
                  <c:v>7.0313600000000021</c:v>
                </c:pt>
                <c:pt idx="4">
                  <c:v>8.7576056338028163</c:v>
                </c:pt>
                <c:pt idx="5">
                  <c:v>7.3076666666666688</c:v>
                </c:pt>
                <c:pt idx="6">
                  <c:v>9.270263157894739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304-4132-9349-D8DF0DF46CF9}"/>
            </c:ext>
          </c:extLst>
        </c:ser>
        <c:ser>
          <c:idx val="3"/>
          <c:order val="3"/>
          <c:tx>
            <c:strRef>
              <c:f>'Regional Comparison'!$E$3</c:f>
              <c:strCache>
                <c:ptCount val="1"/>
                <c:pt idx="0">
                  <c:v>Avg of Pct_managed_drinking_water_services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'Regional Comparison'!$A$4:$A$11</c:f>
              <c:strCache>
                <c:ptCount val="7"/>
                <c:pt idx="0">
                  <c:v>Central and Southern Asia</c:v>
                </c:pt>
                <c:pt idx="1">
                  <c:v>Eastern and South-Eastern Asia</c:v>
                </c:pt>
                <c:pt idx="2">
                  <c:v>Europe and Northern America</c:v>
                </c:pt>
                <c:pt idx="3">
                  <c:v>Latin America and the Caribbean</c:v>
                </c:pt>
                <c:pt idx="4">
                  <c:v>Northern Africa and Western Asia</c:v>
                </c:pt>
                <c:pt idx="5">
                  <c:v>Oceania</c:v>
                </c:pt>
                <c:pt idx="6">
                  <c:v>Sub-Saharan Africa</c:v>
                </c:pt>
              </c:strCache>
            </c:strRef>
          </c:cat>
          <c:val>
            <c:numRef>
              <c:f>'Regional Comparison'!$E$4:$E$11</c:f>
              <c:numCache>
                <c:formatCode>General</c:formatCode>
                <c:ptCount val="7"/>
                <c:pt idx="0">
                  <c:v>92.34071428571427</c:v>
                </c:pt>
                <c:pt idx="1">
                  <c:v>91.274062499999999</c:v>
                </c:pt>
                <c:pt idx="2">
                  <c:v>97.911333333333332</c:v>
                </c:pt>
                <c:pt idx="3">
                  <c:v>95.234423076923065</c:v>
                </c:pt>
                <c:pt idx="4">
                  <c:v>93.499930555555565</c:v>
                </c:pt>
                <c:pt idx="5">
                  <c:v>93.652262773722626</c:v>
                </c:pt>
                <c:pt idx="6">
                  <c:v>70.244478114478099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304-4132-9349-D8DF0DF46C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944983247"/>
        <c:axId val="1945000047"/>
      </c:barChart>
      <c:catAx>
        <c:axId val="194498324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Region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5000047"/>
        <c:crosses val="autoZero"/>
        <c:auto val="1"/>
        <c:lblAlgn val="ctr"/>
        <c:lblOffset val="100"/>
        <c:noMultiLvlLbl val="0"/>
      </c:catAx>
      <c:valAx>
        <c:axId val="19450000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Values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49832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[Un.Access_to_basic_services_clean.xlsx]Trend Over Time!PivotTable3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Trend Over 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'Trend Over Time'!$B$3</c:f>
              <c:strCache>
                <c:ptCount val="1"/>
                <c:pt idx="0">
                  <c:v>Average of Pct_managed_sanitation_services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'Trend Over Time'!$A$4:$A$10</c:f>
              <c:strCache>
                <c:ptCount val="6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</c:strCache>
            </c:strRef>
          </c:cat>
          <c:val>
            <c:numRef>
              <c:f>'Trend Over Time'!$B$4:$B$10</c:f>
              <c:numCache>
                <c:formatCode>General</c:formatCode>
                <c:ptCount val="6"/>
                <c:pt idx="0">
                  <c:v>73.064285714285717</c:v>
                </c:pt>
                <c:pt idx="1">
                  <c:v>73.443922651933704</c:v>
                </c:pt>
                <c:pt idx="2">
                  <c:v>73.882670454545462</c:v>
                </c:pt>
                <c:pt idx="3">
                  <c:v>73.700898203592814</c:v>
                </c:pt>
                <c:pt idx="4">
                  <c:v>73.953231707317073</c:v>
                </c:pt>
                <c:pt idx="5">
                  <c:v>74.174999999999997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D4B-42F5-8632-9B571F1BAD40}"/>
            </c:ext>
          </c:extLst>
        </c:ser>
        <c:ser>
          <c:idx val="1"/>
          <c:order val="1"/>
          <c:tx>
            <c:strRef>
              <c:f>'Trend Over Time'!$C$3</c:f>
              <c:strCache>
                <c:ptCount val="1"/>
                <c:pt idx="0">
                  <c:v>Average of Pct_unemployment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'Trend Over Time'!$A$4:$A$10</c:f>
              <c:strCache>
                <c:ptCount val="6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</c:strCache>
            </c:strRef>
          </c:cat>
          <c:val>
            <c:numRef>
              <c:f>'Trend Over Time'!$C$4:$C$10</c:f>
              <c:numCache>
                <c:formatCode>General</c:formatCode>
                <c:ptCount val="6"/>
                <c:pt idx="0">
                  <c:v>6.9739705882352947</c:v>
                </c:pt>
                <c:pt idx="1">
                  <c:v>6.8836764705882336</c:v>
                </c:pt>
                <c:pt idx="2">
                  <c:v>7.460958904109587</c:v>
                </c:pt>
                <c:pt idx="3">
                  <c:v>6.4101515151515152</c:v>
                </c:pt>
                <c:pt idx="4">
                  <c:v>7.3454794520547946</c:v>
                </c:pt>
                <c:pt idx="5">
                  <c:v>7.722456140350876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D4B-42F5-8632-9B571F1BAD40}"/>
            </c:ext>
          </c:extLst>
        </c:ser>
        <c:ser>
          <c:idx val="2"/>
          <c:order val="2"/>
          <c:tx>
            <c:strRef>
              <c:f>'Trend Over Time'!$D$3</c:f>
              <c:strCache>
                <c:ptCount val="1"/>
                <c:pt idx="0">
                  <c:v>Average of Pct_managed_drinking_water_services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'Trend Over Time'!$A$4:$A$10</c:f>
              <c:strCache>
                <c:ptCount val="6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</c:strCache>
            </c:strRef>
          </c:cat>
          <c:val>
            <c:numRef>
              <c:f>'Trend Over Time'!$D$4:$D$10</c:f>
              <c:numCache>
                <c:formatCode>General</c:formatCode>
                <c:ptCount val="6"/>
                <c:pt idx="0">
                  <c:v>86.432087912087908</c:v>
                </c:pt>
                <c:pt idx="1">
                  <c:v>86.831483516483516</c:v>
                </c:pt>
                <c:pt idx="2">
                  <c:v>87.269888268156421</c:v>
                </c:pt>
                <c:pt idx="3">
                  <c:v>87.356549707602341</c:v>
                </c:pt>
                <c:pt idx="4">
                  <c:v>87.597396449704135</c:v>
                </c:pt>
                <c:pt idx="5">
                  <c:v>87.73921212121212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D4B-42F5-8632-9B571F1BAD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2110591"/>
        <c:axId val="152111071"/>
      </c:lineChart>
      <c:catAx>
        <c:axId val="1521105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111071"/>
        <c:crosses val="autoZero"/>
        <c:auto val="1"/>
        <c:lblAlgn val="ctr"/>
        <c:lblOffset val="100"/>
        <c:noMultiLvlLbl val="0"/>
      </c:catAx>
      <c:valAx>
        <c:axId val="152111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1105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0</xdr:rowOff>
    </xdr:from>
    <xdr:to>
      <xdr:col>7</xdr:col>
      <xdr:colOff>304800</xdr:colOff>
      <xdr:row>16</xdr:row>
      <xdr:rowOff>165100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73D2B39-D43F-4F40-B144-FAE426200E5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2</xdr:row>
      <xdr:rowOff>0</xdr:rowOff>
    </xdr:from>
    <xdr:to>
      <xdr:col>17</xdr:col>
      <xdr:colOff>44450</xdr:colOff>
      <xdr:row>16</xdr:row>
      <xdr:rowOff>165100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C6E5E3D-3B9C-4095-9FF0-999D58F6BC0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19</xdr:col>
      <xdr:colOff>0</xdr:colOff>
      <xdr:row>2</xdr:row>
      <xdr:rowOff>0</xdr:rowOff>
    </xdr:from>
    <xdr:to>
      <xdr:col>26</xdr:col>
      <xdr:colOff>298450</xdr:colOff>
      <xdr:row>16</xdr:row>
      <xdr:rowOff>101606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8182B3A-DD0C-47A3-94DD-EE5AA9562F5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air Olis" refreshedDate="46093.636081597222" createdVersion="8" refreshedVersion="8" minRefreshableVersion="3" recordCount="1048" xr:uid="{EEF6E2FB-9AA8-4F31-8375-8CDE7894A7E9}">
  <cacheSource type="worksheet">
    <worksheetSource ref="A1:J1049" sheet="Access_to_basic_services (2)"/>
  </cacheSource>
  <cacheFields count="10">
    <cacheField name="Region" numFmtId="0">
      <sharedItems count="7">
        <s v="Central and Southern Asia"/>
        <s v="Eastern and South-Eastern Asia"/>
        <s v="Europe and Northern America"/>
        <s v="Latin America and the Caribbean"/>
        <s v="Northern Africa and Western Asia"/>
        <s v="Oceania"/>
        <s v="Sub-Saharan Africa"/>
      </sharedItems>
    </cacheField>
    <cacheField name="Sub_region" numFmtId="0">
      <sharedItems/>
    </cacheField>
    <cacheField name="Country_name" numFmtId="0">
      <sharedItems/>
    </cacheField>
    <cacheField name="Time_period" numFmtId="0">
      <sharedItems containsSemiMixedTypes="0" containsString="0" containsNumber="1" containsInteger="1" minValue="2015" maxValue="2020" count="6">
        <n v="2015"/>
        <n v="2016"/>
        <n v="2017"/>
        <n v="2018"/>
        <n v="2019"/>
        <n v="2020"/>
      </sharedItems>
    </cacheField>
    <cacheField name="Pct_managed_drinking_water_services" numFmtId="0">
      <sharedItems containsSemiMixedTypes="0" containsString="0" containsNumber="1" minValue="38.33" maxValue="100"/>
    </cacheField>
    <cacheField name="Pct_managed_sanitation_services" numFmtId="0">
      <sharedItems containsMixedTypes="1" containsNumber="1" minValue="10.67" maxValue="100" count="226">
        <n v="98"/>
        <n v="96.67"/>
        <n v="97.33"/>
        <n v="97.67"/>
        <n v="95"/>
        <n v="95.33"/>
        <n v="95.67"/>
        <n v="96.33"/>
        <n v="98.67"/>
        <n v="99.33"/>
        <n v="100"/>
        <n v="45.67"/>
        <n v="47"/>
        <n v="49.33"/>
        <n v="50.67"/>
        <n v="52.33"/>
        <n v="54"/>
        <n v="47.33"/>
        <n v="48.67"/>
        <n v="50"/>
        <n v="51.33"/>
        <n v="52.67"/>
        <n v="70.67"/>
        <n v="71.67"/>
        <n v="73.33"/>
        <n v="74.33"/>
        <n v="75"/>
        <n v="76.67"/>
        <n v="59.33"/>
        <n v="62"/>
        <n v="64.33"/>
        <n v="67"/>
        <n v="69.67"/>
        <n v="72.33"/>
        <n v="86"/>
        <n v="87"/>
        <n v="87.67"/>
        <n v="88"/>
        <n v="88.33"/>
        <n v="94.67"/>
        <n v="98.33"/>
        <n v="60"/>
        <n v="63"/>
        <n v="66.67"/>
        <n v="61.67"/>
        <n v="63.33"/>
        <n v="65.33"/>
        <n v="68.67"/>
        <n v="70"/>
        <n v="90.67"/>
        <n v="91.67"/>
        <n v="92.67"/>
        <n v="93.67"/>
        <n v="83.67"/>
        <n v="85.67"/>
        <n v="90.33"/>
        <n v="80.33"/>
        <n v="81"/>
        <n v="81.67"/>
        <n v="82.67"/>
        <n v="83.33"/>
        <n v="58.67"/>
        <n v="59.67"/>
        <n v="61"/>
        <n v="63.67"/>
        <n v="65"/>
        <n v="96"/>
        <s v="NULL"/>
        <n v="60.33"/>
        <n v="65.67"/>
        <n v="68.33"/>
        <n v="75.33"/>
        <n v="78.33"/>
        <n v="80.67"/>
        <n v="73.67"/>
        <n v="75.67"/>
        <n v="80"/>
        <n v="82"/>
        <n v="99.67"/>
        <n v="73"/>
        <n v="74"/>
        <n v="74.67"/>
        <n v="78"/>
        <n v="79.33"/>
        <n v="97"/>
        <n v="55"/>
        <n v="55.67"/>
        <n v="57.33"/>
        <n v="58"/>
        <n v="59"/>
        <n v="83"/>
        <n v="84.67"/>
        <n v="87.33"/>
        <n v="89"/>
        <n v="90"/>
        <n v="99"/>
        <n v="84"/>
        <n v="88.67"/>
        <n v="89.33"/>
        <n v="89.67"/>
        <n v="82.33"/>
        <n v="84.33"/>
        <n v="91"/>
        <n v="32.33"/>
        <n v="33.33"/>
        <n v="34.33"/>
        <n v="35.33"/>
        <n v="36"/>
        <n v="86.33"/>
        <n v="86.67"/>
        <n v="81.33"/>
        <n v="94"/>
        <n v="79.67"/>
        <n v="67.33"/>
        <n v="67.67"/>
        <n v="78.67"/>
        <n v="71"/>
        <n v="77.67"/>
        <n v="53"/>
        <n v="54.33"/>
        <n v="56.33"/>
        <n v="79"/>
        <n v="91.33"/>
        <n v="85.33"/>
        <n v="92"/>
        <n v="71.33"/>
        <n v="85"/>
        <n v="38.67"/>
        <n v="40"/>
        <n v="40.33"/>
        <n v="93"/>
        <n v="94.33"/>
        <n v="92.33"/>
        <n v="56.67"/>
        <n v="57"/>
        <n v="28.33"/>
        <n v="28"/>
        <n v="27.67"/>
        <n v="42.67"/>
        <n v="43.33"/>
        <n v="44"/>
        <n v="44.33"/>
        <n v="44.67"/>
        <n v="56"/>
        <n v="43"/>
        <n v="43.67"/>
        <n v="45.33"/>
        <n v="66"/>
        <n v="93.33"/>
        <n v="37.67"/>
        <n v="53.67"/>
        <n v="54.67"/>
        <n v="13.33"/>
        <n v="10.67"/>
        <n v="11"/>
        <n v="11.33"/>
        <n v="11.67"/>
        <n v="33"/>
        <n v="33.67"/>
        <n v="12"/>
        <n v="12.67"/>
        <n v="13"/>
        <n v="28.67"/>
        <n v="34.67"/>
        <n v="35.67"/>
        <n v="37.33"/>
        <n v="39.33"/>
        <n v="64"/>
        <n v="36.33"/>
        <n v="38"/>
        <n v="15.67"/>
        <n v="17"/>
        <n v="18.670000000000002"/>
        <n v="20.67"/>
        <n v="22.33"/>
        <n v="21.33"/>
        <n v="21.67"/>
        <n v="29.33"/>
        <n v="31"/>
        <n v="34"/>
        <n v="31.67"/>
        <n v="32"/>
        <n v="32.67"/>
        <n v="37"/>
        <n v="46.67"/>
        <n v="41.67"/>
        <n v="42"/>
        <n v="42.33"/>
        <n v="17.329999999999998"/>
        <n v="16.670000000000002"/>
        <n v="16"/>
        <n v="15.33"/>
        <n v="15"/>
        <n v="16.329999999999998"/>
        <n v="17.670000000000002"/>
        <n v="18.329999999999998"/>
        <n v="46.33"/>
        <n v="39"/>
        <n v="41.33"/>
        <n v="46"/>
        <n v="70.33"/>
        <n v="60.67"/>
        <n v="61.33"/>
        <n v="40.67"/>
        <n v="47.67"/>
        <n v="49.67"/>
        <n v="35"/>
        <n v="77"/>
        <n v="24.67"/>
        <n v="25"/>
        <n v="76"/>
        <n v="30.67"/>
        <n v="31.33"/>
        <n v="45"/>
        <n v="19.670000000000002"/>
        <n v="22.67"/>
        <n v="23"/>
        <n v="26"/>
        <n v="27.33"/>
        <n v="29.67"/>
        <n v="18"/>
        <n v="19.329999999999998"/>
        <n v="48"/>
        <n v="23.67"/>
        <n v="41"/>
        <n v="20"/>
      </sharedItems>
    </cacheField>
    <cacheField name="Est_population_in_millions" numFmtId="0">
      <sharedItems containsMixedTypes="1" containsNumber="1" minValue="1.0828000000000001E-2" maxValue="1411.1"/>
    </cacheField>
    <cacheField name="Est_gdp_in_billions" numFmtId="0">
      <sharedItems containsMixedTypes="1" containsNumber="1" minValue="0.04" maxValue="14687.67"/>
    </cacheField>
    <cacheField name="Land_area" numFmtId="0">
      <sharedItems containsMixedTypes="1" containsNumber="1" minValue="20" maxValue="9424702.9000000004"/>
    </cacheField>
    <cacheField name="Pct_unemployment" numFmtId="0">
      <sharedItems containsMixedTypes="1" containsNumber="1" minValue="0.1" maxValue="31.31" count="349">
        <n v="4.93"/>
        <n v="4.96"/>
        <n v="4.9000000000000004"/>
        <n v="4.8499999999999996"/>
        <n v="4.8"/>
        <n v="4.8899999999999997"/>
        <s v="NULL"/>
        <n v="6.9"/>
        <n v="5.15"/>
        <n v="5.16"/>
        <n v="5.83"/>
        <n v="9.35"/>
        <n v="8.98"/>
        <n v="5.29"/>
        <n v="11.18"/>
        <n v="11.71"/>
        <n v="4.3499999999999996"/>
        <n v="4.37"/>
        <n v="2.4500000000000002"/>
        <n v="3.35"/>
        <n v="2.72"/>
        <n v="5.03"/>
        <n v="7.65"/>
        <n v="6.51"/>
        <n v="7.86"/>
        <n v="5.77"/>
        <n v="4.5599999999999996"/>
        <n v="3.1"/>
        <n v="10.66"/>
        <n v="3.57"/>
        <n v="4.08"/>
        <n v="4.83"/>
        <n v="4.5199999999999996"/>
        <n v="4.24"/>
        <n v="4.05"/>
        <n v="4.32"/>
        <n v="4.67"/>
        <n v="5.36"/>
        <n v="3.9"/>
        <n v="5.61"/>
        <n v="3.39"/>
        <n v="3.13"/>
        <n v="2.82"/>
        <n v="2.4700000000000002"/>
        <n v="2.35"/>
        <n v="2.81"/>
        <n v="4.8600000000000003"/>
        <n v="7.24"/>
        <n v="6.36"/>
        <n v="5.38"/>
        <n v="9.27"/>
        <n v="6.59"/>
        <n v="9.32"/>
        <n v="8.6999999999999993"/>
        <n v="6.6"/>
        <n v="7.41"/>
        <n v="0.39"/>
        <n v="0.72"/>
        <n v="0.14000000000000001"/>
        <n v="0.5"/>
        <n v="4.51"/>
        <n v="4.3"/>
        <n v="3.78"/>
        <n v="4.3899999999999997"/>
        <n v="3.59"/>
        <n v="4.25"/>
        <n v="3.44"/>
        <n v="3.41"/>
        <n v="3.3"/>
        <n v="3.26"/>
        <n v="4.54"/>
        <n v="0.77"/>
        <n v="1.36"/>
        <n v="0.41"/>
        <n v="1.48"/>
        <n v="3.07"/>
        <n v="2.7"/>
        <n v="2.5499999999999998"/>
        <n v="2.34"/>
        <n v="2.2400000000000002"/>
        <n v="2.52"/>
        <n v="3.79"/>
        <n v="4.2"/>
        <n v="4.0999999999999996"/>
        <n v="0.6"/>
        <n v="0.69"/>
        <n v="0.83"/>
        <n v="1.1000000000000001"/>
        <n v="4.66"/>
        <n v="6.91"/>
        <n v="7"/>
        <n v="6.34"/>
        <n v="5.66"/>
        <n v="9.4600000000000009"/>
        <n v="9.1"/>
        <n v="9.8000000000000007"/>
        <n v="8.25"/>
        <n v="8.6199999999999992"/>
        <n v="8.32"/>
        <n v="8.41"/>
        <n v="2.4"/>
        <n v="2"/>
        <n v="1.7"/>
        <n v="7.61"/>
        <n v="7.28"/>
        <n v="5.86"/>
        <n v="6.18"/>
        <n v="6.13"/>
        <n v="22.9"/>
        <n v="13.51"/>
        <n v="8.6300000000000008"/>
        <n v="7.4"/>
        <n v="5.47"/>
        <n v="4.99"/>
        <n v="6.5"/>
        <n v="12"/>
        <n v="11.8"/>
        <n v="10.8"/>
        <n v="9.1999999999999993"/>
        <n v="8.3000000000000007"/>
        <n v="2.4300000000000002"/>
        <n v="3.21"/>
        <n v="3.52"/>
        <n v="4.21"/>
        <n v="7.58"/>
        <n v="9.0500000000000007"/>
        <n v="8.42"/>
        <n v="8.09"/>
        <n v="7.73"/>
        <n v="9.01"/>
        <n v="10.81"/>
        <n v="16.43"/>
        <n v="4"/>
        <n v="4.42"/>
        <n v="4.01"/>
        <n v="4.17"/>
        <n v="5.01"/>
        <n v="2.5099999999999998"/>
        <n v="2.58"/>
        <n v="2.46"/>
        <n v="2.2799999999999998"/>
        <n v="2.19"/>
        <n v="6.15"/>
        <n v="6.73"/>
        <n v="5.53"/>
        <n v="5.62"/>
        <n v="5.55"/>
        <n v="10.68"/>
        <n v="4.3099999999999996"/>
        <n v="3.85"/>
        <n v="3.42"/>
        <n v="3.27"/>
        <n v="3.48"/>
        <n v="4.4400000000000004"/>
        <n v="4.7"/>
        <n v="5.2"/>
        <n v="4.4000000000000004"/>
        <n v="4.84"/>
        <n v="5.46"/>
        <n v="5.31"/>
        <n v="6.41"/>
        <n v="18.55"/>
        <n v="8.35"/>
        <n v="9.2200000000000006"/>
        <n v="9.84"/>
        <n v="11.46"/>
        <n v="8.5399999999999991"/>
        <n v="11.58"/>
        <n v="12.79"/>
        <n v="12.33"/>
        <n v="11.94"/>
        <n v="13.7"/>
        <n v="6.49"/>
        <n v="6.95"/>
        <n v="7.21"/>
        <n v="7.27"/>
        <n v="10.94"/>
        <n v="8.57"/>
        <n v="8.92"/>
        <n v="9.09"/>
        <n v="9.36"/>
        <n v="10.28"/>
        <n v="15.98"/>
        <n v="3.62"/>
        <n v="4.5999999999999996"/>
        <n v="3.84"/>
        <n v="3.53"/>
        <n v="3.81"/>
        <n v="6.11"/>
        <n v="14.02"/>
        <n v="13.52"/>
        <n v="5.25"/>
        <n v="4.6100000000000003"/>
        <n v="6.22"/>
        <n v="7.55"/>
        <n v="3.74"/>
        <n v="3.69"/>
        <n v="3.49"/>
        <n v="3.38"/>
        <n v="7.18"/>
        <n v="7.22"/>
        <n v="7.92"/>
        <n v="7.49"/>
        <n v="7.84"/>
        <n v="7.89"/>
        <n v="8.34"/>
        <n v="8.73"/>
        <n v="10.33"/>
        <n v="11.21"/>
        <n v="10.199999999999999"/>
        <n v="9.3000000000000007"/>
        <n v="15.16"/>
        <n v="15.56"/>
        <n v="15.33"/>
        <n v="15.46"/>
        <n v="15.13"/>
        <n v="18.260000000000002"/>
        <n v="17.62"/>
        <n v="17.7"/>
        <n v="13.21"/>
        <n v="12.2"/>
        <n v="12.18"/>
        <n v="5"/>
        <n v="4.9400000000000004"/>
        <n v="7.16"/>
        <n v="15.03"/>
        <n v="13.01"/>
        <n v="11.16"/>
        <n v="8.5"/>
        <n v="7.15"/>
        <n v="7.76"/>
        <n v="16.510000000000002"/>
        <n v="16.600000000000001"/>
        <n v="13.94"/>
        <n v="12.67"/>
        <n v="11.57"/>
        <n v="11.73"/>
        <n v="10.82"/>
        <n v="13.02"/>
        <n v="5.18"/>
        <n v="4.72"/>
        <n v="4.1399999999999997"/>
        <n v="3.92"/>
        <n v="3.73"/>
        <n v="13.08"/>
        <n v="15.28"/>
        <n v="18.12"/>
        <n v="16.8"/>
        <n v="19.21"/>
        <n v="2.2000000000000002"/>
        <n v="2.16"/>
        <n v="11.3"/>
        <n v="1.8"/>
        <n v="2.94"/>
        <n v="0.17"/>
        <n v="0.15"/>
        <n v="0.11"/>
        <n v="0.1"/>
        <n v="5.6"/>
        <n v="5.89"/>
        <n v="6.03"/>
        <n v="5.64"/>
        <n v="7.66"/>
        <n v="1.64"/>
        <n v="2.33"/>
        <n v="4.29"/>
        <n v="6.06"/>
        <n v="5.71"/>
        <n v="5.59"/>
        <n v="5.3"/>
        <n v="6.46"/>
        <n v="5.42"/>
        <n v="4.74"/>
        <n v="4.34"/>
        <n v="4.1100000000000003"/>
        <n v="11.68"/>
        <n v="11.7"/>
        <n v="10.88"/>
        <n v="13.56"/>
        <n v="5.44"/>
        <n v="5.4"/>
        <n v="9.33"/>
        <n v="8.56"/>
        <n v="10.97"/>
        <n v="9.4"/>
        <n v="2.25"/>
        <n v="8.49"/>
        <n v="26.55"/>
        <n v="1.03"/>
        <n v="26.06"/>
        <n v="2.76"/>
        <n v="1.79"/>
        <n v="3.54"/>
        <n v="0.91"/>
        <n v="6.81"/>
        <n v="6.75"/>
        <n v="6.43"/>
        <n v="6.33"/>
        <n v="3.43"/>
        <n v="11.88"/>
        <n v="10.76"/>
        <n v="11.24"/>
        <n v="11.83"/>
        <n v="4.1500000000000004"/>
        <n v="3.96"/>
        <n v="3.71"/>
        <n v="2.97"/>
        <n v="18.829999999999998"/>
        <n v="3.64"/>
        <n v="8.52"/>
        <n v="5.54"/>
        <n v="7.37"/>
        <n v="16.5"/>
        <n v="1.1299999999999999"/>
        <n v="20.09"/>
        <n v="21.02"/>
        <n v="22.72"/>
        <n v="16.88"/>
        <n v="23.35"/>
        <n v="19.88"/>
        <n v="22.87"/>
        <n v="24.02"/>
        <n v="23.99"/>
        <n v="24.22"/>
        <n v="25.54"/>
        <n v="24.34"/>
        <n v="1.47"/>
        <n v="4.6900000000000004"/>
        <n v="31.31"/>
        <n v="12.24"/>
        <n v="12.17"/>
        <n v="11.29"/>
        <n v="3.37"/>
        <n v="5.0199999999999996"/>
        <n v="3.2"/>
        <n v="3.08"/>
        <n v="5.95"/>
        <n v="1.37"/>
        <n v="1.62"/>
        <n v="10.34"/>
        <n v="10.42"/>
        <n v="7.77"/>
        <n v="7.06"/>
        <n v="8.39"/>
        <n v="10.7"/>
        <n v="6.76"/>
        <n v="4.46"/>
        <n v="2.86"/>
        <n v="3.19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48">
  <r>
    <x v="0"/>
    <s v="Central Asia"/>
    <s v="Kazakhstan"/>
    <x v="0"/>
    <n v="94.67"/>
    <x v="0"/>
    <n v="17.542805999999999"/>
    <n v="184.39"/>
    <n v="2699700"/>
    <x v="0"/>
  </r>
  <r>
    <x v="0"/>
    <s v="Central Asia"/>
    <s v="Kazakhstan"/>
    <x v="1"/>
    <n v="94.67"/>
    <x v="0"/>
    <n v="17.794055"/>
    <n v="137.28"/>
    <n v="2699700"/>
    <x v="1"/>
  </r>
  <r>
    <x v="0"/>
    <s v="Central Asia"/>
    <s v="Kazakhstan"/>
    <x v="2"/>
    <n v="95"/>
    <x v="0"/>
    <n v="18.037776000000001"/>
    <n v="166.81"/>
    <n v="2699700"/>
    <x v="2"/>
  </r>
  <r>
    <x v="0"/>
    <s v="Central Asia"/>
    <s v="Kazakhstan"/>
    <x v="3"/>
    <n v="95"/>
    <x v="0"/>
    <n v="18.276451999999999"/>
    <n v="179.34"/>
    <n v="2699700"/>
    <x v="3"/>
  </r>
  <r>
    <x v="0"/>
    <s v="Central Asia"/>
    <s v="Kazakhstan"/>
    <x v="4"/>
    <n v="95"/>
    <x v="0"/>
    <n v="18.513673000000001"/>
    <n v="181.67"/>
    <n v="2699700"/>
    <x v="4"/>
  </r>
  <r>
    <x v="0"/>
    <s v="Central Asia"/>
    <s v="Kazakhstan"/>
    <x v="5"/>
    <n v="95"/>
    <x v="0"/>
    <n v="18.755666000000002"/>
    <n v="171.08"/>
    <n v="2699700"/>
    <x v="5"/>
  </r>
  <r>
    <x v="0"/>
    <s v="Central Asia"/>
    <s v="Kyrgyzstan"/>
    <x v="0"/>
    <n v="89.67"/>
    <x v="1"/>
    <s v="NULL"/>
    <s v="NULL"/>
    <s v="NULL"/>
    <x v="6"/>
  </r>
  <r>
    <x v="0"/>
    <s v="Central Asia"/>
    <s v="Kyrgyzstan"/>
    <x v="1"/>
    <n v="90.33"/>
    <x v="1"/>
    <s v="NULL"/>
    <s v="NULL"/>
    <s v="NULL"/>
    <x v="6"/>
  </r>
  <r>
    <x v="0"/>
    <s v="Central Asia"/>
    <s v="Kyrgyzstan"/>
    <x v="2"/>
    <n v="91"/>
    <x v="2"/>
    <s v="NULL"/>
    <s v="NULL"/>
    <s v="NULL"/>
    <x v="6"/>
  </r>
  <r>
    <x v="0"/>
    <s v="Central Asia"/>
    <s v="Kyrgyzstan"/>
    <x v="3"/>
    <n v="91.33"/>
    <x v="2"/>
    <s v="NULL"/>
    <s v="NULL"/>
    <s v="NULL"/>
    <x v="6"/>
  </r>
  <r>
    <x v="0"/>
    <s v="Central Asia"/>
    <s v="Kyrgyzstan"/>
    <x v="4"/>
    <n v="91.67"/>
    <x v="2"/>
    <s v="NULL"/>
    <s v="NULL"/>
    <s v="NULL"/>
    <x v="6"/>
  </r>
  <r>
    <x v="0"/>
    <s v="Central Asia"/>
    <s v="Kyrgyzstan"/>
    <x v="5"/>
    <n v="92.67"/>
    <x v="3"/>
    <s v="NULL"/>
    <s v="NULL"/>
    <s v="NULL"/>
    <x v="6"/>
  </r>
  <r>
    <x v="0"/>
    <s v="Central Asia"/>
    <s v="Tajikistan"/>
    <x v="0"/>
    <n v="80.33"/>
    <x v="4"/>
    <n v="8.5240629999999999"/>
    <n v="8.27"/>
    <n v="138790"/>
    <x v="6"/>
  </r>
  <r>
    <x v="0"/>
    <s v="Central Asia"/>
    <s v="Tajikistan"/>
    <x v="1"/>
    <n v="81.33"/>
    <x v="5"/>
    <n v="8.7253179999999997"/>
    <n v="6.99"/>
    <n v="138790"/>
    <x v="7"/>
  </r>
  <r>
    <x v="0"/>
    <s v="Central Asia"/>
    <s v="Tajikistan"/>
    <x v="2"/>
    <n v="82.33"/>
    <x v="6"/>
    <n v="8.9255250000000004"/>
    <n v="7.54"/>
    <n v="138790"/>
    <x v="6"/>
  </r>
  <r>
    <x v="0"/>
    <s v="Central Asia"/>
    <s v="Tajikistan"/>
    <x v="3"/>
    <n v="83.33"/>
    <x v="6"/>
    <n v="9.1281320000000008"/>
    <n v="7.77"/>
    <n v="138790"/>
    <x v="6"/>
  </r>
  <r>
    <x v="0"/>
    <s v="Central Asia"/>
    <s v="Tajikistan"/>
    <x v="4"/>
    <n v="85"/>
    <x v="7"/>
    <n v="9.3370029999999993"/>
    <n v="8.3000000000000007"/>
    <n v="138790"/>
    <x v="6"/>
  </r>
  <r>
    <x v="0"/>
    <s v="Central Asia"/>
    <s v="Tajikistan"/>
    <x v="5"/>
    <n v="85"/>
    <x v="7"/>
    <n v="9.5432070000000007"/>
    <n v="8.1300000000000008"/>
    <n v="138790"/>
    <x v="6"/>
  </r>
  <r>
    <x v="0"/>
    <s v="Central Asia"/>
    <s v="Turkmenistan"/>
    <x v="0"/>
    <n v="97.67"/>
    <x v="2"/>
    <n v="5.7664309999999999"/>
    <n v="35.799999999999997"/>
    <n v="469930"/>
    <x v="6"/>
  </r>
  <r>
    <x v="0"/>
    <s v="Central Asia"/>
    <s v="Turkmenistan"/>
    <x v="1"/>
    <n v="98"/>
    <x v="0"/>
    <n v="5.8685609999999997"/>
    <n v="36.17"/>
    <n v="469930"/>
    <x v="6"/>
  </r>
  <r>
    <x v="0"/>
    <s v="Central Asia"/>
    <s v="Turkmenistan"/>
    <x v="2"/>
    <n v="98.67"/>
    <x v="0"/>
    <n v="5.9683830000000002"/>
    <n v="37.93"/>
    <n v="469930"/>
    <x v="6"/>
  </r>
  <r>
    <x v="0"/>
    <s v="Central Asia"/>
    <s v="Turkmenistan"/>
    <x v="3"/>
    <n v="99.33"/>
    <x v="8"/>
    <n v="6.0650659999999998"/>
    <n v="40.770000000000003"/>
    <n v="469930"/>
    <x v="6"/>
  </r>
  <r>
    <x v="0"/>
    <s v="Central Asia"/>
    <s v="Turkmenistan"/>
    <x v="4"/>
    <n v="100"/>
    <x v="9"/>
    <n v="6.1584199999999996"/>
    <n v="45.23"/>
    <n v="469930"/>
    <x v="6"/>
  </r>
  <r>
    <x v="0"/>
    <s v="Central Asia"/>
    <s v="Turkmenistan"/>
    <x v="5"/>
    <n v="100"/>
    <x v="9"/>
    <n v="6.2504379999999999"/>
    <s v="NULL"/>
    <n v="469930"/>
    <x v="6"/>
  </r>
  <r>
    <x v="0"/>
    <s v="Central Asia"/>
    <s v="Uzbekistan"/>
    <x v="0"/>
    <n v="97.67"/>
    <x v="10"/>
    <n v="31.2989"/>
    <n v="86.2"/>
    <n v="440600"/>
    <x v="8"/>
  </r>
  <r>
    <x v="0"/>
    <s v="Central Asia"/>
    <s v="Uzbekistan"/>
    <x v="1"/>
    <n v="97.67"/>
    <x v="10"/>
    <n v="31.847899999999999"/>
    <n v="86.14"/>
    <n v="440591"/>
    <x v="9"/>
  </r>
  <r>
    <x v="0"/>
    <s v="Central Asia"/>
    <s v="Uzbekistan"/>
    <x v="2"/>
    <n v="98"/>
    <x v="10"/>
    <n v="32.388599999999997"/>
    <n v="62.08"/>
    <n v="440588"/>
    <x v="10"/>
  </r>
  <r>
    <x v="0"/>
    <s v="Central Asia"/>
    <s v="Uzbekistan"/>
    <x v="3"/>
    <n v="98"/>
    <x v="10"/>
    <n v="32.956099999999999"/>
    <n v="52.63"/>
    <n v="440587"/>
    <x v="11"/>
  </r>
  <r>
    <x v="0"/>
    <s v="Central Asia"/>
    <s v="Uzbekistan"/>
    <x v="4"/>
    <n v="98"/>
    <x v="10"/>
    <n v="33.580350000000003"/>
    <n v="59.91"/>
    <n v="440555"/>
    <x v="12"/>
  </r>
  <r>
    <x v="0"/>
    <s v="Central Asia"/>
    <s v="Uzbekistan"/>
    <x v="5"/>
    <n v="98"/>
    <x v="10"/>
    <n v="34.232050000000001"/>
    <n v="59.89"/>
    <n v="440650"/>
    <x v="13"/>
  </r>
  <r>
    <x v="0"/>
    <s v="Southern Asia"/>
    <s v="Afghanistan"/>
    <x v="0"/>
    <n v="67"/>
    <x v="11"/>
    <n v="33.753498999999998"/>
    <n v="20"/>
    <n v="652230"/>
    <x v="6"/>
  </r>
  <r>
    <x v="0"/>
    <s v="Southern Asia"/>
    <s v="Afghanistan"/>
    <x v="1"/>
    <n v="69.67"/>
    <x v="12"/>
    <n v="34.636206999999999"/>
    <n v="18.02"/>
    <n v="652230"/>
    <x v="6"/>
  </r>
  <r>
    <x v="0"/>
    <s v="Southern Asia"/>
    <s v="Afghanistan"/>
    <x v="2"/>
    <n v="72.33"/>
    <x v="13"/>
    <n v="35.643417999999997"/>
    <n v="18.899999999999999"/>
    <n v="652230"/>
    <x v="14"/>
  </r>
  <r>
    <x v="0"/>
    <s v="Southern Asia"/>
    <s v="Afghanistan"/>
    <x v="3"/>
    <n v="75.33"/>
    <x v="14"/>
    <n v="36.686784000000003"/>
    <n v="18.420000000000002"/>
    <n v="652230"/>
    <x v="6"/>
  </r>
  <r>
    <x v="0"/>
    <s v="Southern Asia"/>
    <s v="Afghanistan"/>
    <x v="4"/>
    <n v="78"/>
    <x v="15"/>
    <n v="37.769499000000003"/>
    <n v="18.899999999999999"/>
    <n v="652230"/>
    <x v="6"/>
  </r>
  <r>
    <x v="0"/>
    <s v="Southern Asia"/>
    <s v="Afghanistan"/>
    <x v="5"/>
    <n v="80.33"/>
    <x v="16"/>
    <n v="38.972230000000003"/>
    <n v="20.14"/>
    <n v="652230"/>
    <x v="15"/>
  </r>
  <r>
    <x v="0"/>
    <s v="Southern Asia"/>
    <s v="Bangladesh"/>
    <x v="0"/>
    <n v="97.33"/>
    <x v="17"/>
    <n v="157.83000000000001"/>
    <n v="195.08"/>
    <n v="130170"/>
    <x v="6"/>
  </r>
  <r>
    <x v="0"/>
    <s v="Southern Asia"/>
    <s v="Bangladesh"/>
    <x v="1"/>
    <n v="97.33"/>
    <x v="18"/>
    <n v="159.78456800000001"/>
    <n v="265.24"/>
    <n v="130170"/>
    <x v="16"/>
  </r>
  <r>
    <x v="0"/>
    <s v="Southern Asia"/>
    <s v="Bangladesh"/>
    <x v="2"/>
    <n v="97.33"/>
    <x v="19"/>
    <n v="161.79396399999999"/>
    <n v="293.75"/>
    <n v="130170"/>
    <x v="17"/>
  </r>
  <r>
    <x v="0"/>
    <s v="Southern Asia"/>
    <s v="Bangladesh"/>
    <x v="3"/>
    <n v="97.33"/>
    <x v="20"/>
    <n v="163.68395799999999"/>
    <n v="321.38"/>
    <n v="130170"/>
    <x v="6"/>
  </r>
  <r>
    <x v="0"/>
    <s v="Southern Asia"/>
    <s v="Bangladesh"/>
    <x v="4"/>
    <n v="97.67"/>
    <x v="21"/>
    <n v="165.516222"/>
    <n v="351.24"/>
    <n v="130170"/>
    <x v="6"/>
  </r>
  <r>
    <x v="0"/>
    <s v="Southern Asia"/>
    <s v="Bangladesh"/>
    <x v="5"/>
    <n v="97.67"/>
    <x v="16"/>
    <n v="167.420951"/>
    <n v="373.9"/>
    <n v="130170"/>
    <x v="6"/>
  </r>
  <r>
    <x v="0"/>
    <s v="Southern Asia"/>
    <s v="Bhutan"/>
    <x v="0"/>
    <n v="96.33"/>
    <x v="22"/>
    <n v="0.74327399999999999"/>
    <n v="2"/>
    <n v="38117"/>
    <x v="18"/>
  </r>
  <r>
    <x v="0"/>
    <s v="Southern Asia"/>
    <s v="Bhutan"/>
    <x v="1"/>
    <n v="97"/>
    <x v="23"/>
    <n v="0.74976100000000001"/>
    <n v="2.16"/>
    <n v="38144"/>
    <x v="6"/>
  </r>
  <r>
    <x v="0"/>
    <s v="Southern Asia"/>
    <s v="Bhutan"/>
    <x v="2"/>
    <n v="97.33"/>
    <x v="24"/>
    <n v="0.75612100000000004"/>
    <n v="2.4500000000000002"/>
    <n v="38144"/>
    <x v="6"/>
  </r>
  <r>
    <x v="0"/>
    <s v="Southern Asia"/>
    <s v="Bhutan"/>
    <x v="3"/>
    <n v="97.33"/>
    <x v="25"/>
    <n v="0.762096"/>
    <n v="2.4500000000000002"/>
    <n v="38140"/>
    <x v="19"/>
  </r>
  <r>
    <x v="0"/>
    <s v="Southern Asia"/>
    <s v="Bhutan"/>
    <x v="4"/>
    <n v="97.33"/>
    <x v="26"/>
    <n v="0.767459"/>
    <n v="2.54"/>
    <n v="38140"/>
    <x v="20"/>
  </r>
  <r>
    <x v="0"/>
    <s v="Southern Asia"/>
    <s v="Bhutan"/>
    <x v="5"/>
    <n v="97.33"/>
    <x v="27"/>
    <n v="0.77250600000000003"/>
    <n v="2.33"/>
    <n v="38140"/>
    <x v="21"/>
  </r>
  <r>
    <x v="0"/>
    <s v="Southern Asia"/>
    <s v="India"/>
    <x v="0"/>
    <n v="89"/>
    <x v="28"/>
    <n v="1322.866505"/>
    <n v="2103.59"/>
    <n v="2973190"/>
    <x v="6"/>
  </r>
  <r>
    <x v="0"/>
    <s v="Southern Asia"/>
    <s v="India"/>
    <x v="1"/>
    <n v="89.33"/>
    <x v="29"/>
    <n v="1338.63634"/>
    <n v="2294.8000000000002"/>
    <n v="2973190"/>
    <x v="6"/>
  </r>
  <r>
    <x v="0"/>
    <s v="Southern Asia"/>
    <s v="India"/>
    <x v="2"/>
    <n v="90"/>
    <x v="30"/>
    <n v="1354.19568"/>
    <n v="2651.47"/>
    <n v="2973190"/>
    <x v="6"/>
  </r>
  <r>
    <x v="0"/>
    <s v="Southern Asia"/>
    <s v="India"/>
    <x v="3"/>
    <n v="90.33"/>
    <x v="31"/>
    <n v="1369.0033060000001"/>
    <n v="2702.93"/>
    <n v="2973190"/>
    <x v="22"/>
  </r>
  <r>
    <x v="0"/>
    <s v="Southern Asia"/>
    <s v="India"/>
    <x v="4"/>
    <n v="90.67"/>
    <x v="32"/>
    <n v="1383.11205"/>
    <n v="2831.55"/>
    <n v="2973190"/>
    <x v="23"/>
  </r>
  <r>
    <x v="0"/>
    <s v="Southern Asia"/>
    <s v="India"/>
    <x v="5"/>
    <n v="91"/>
    <x v="33"/>
    <n v="1396.387127"/>
    <n v="2667.69"/>
    <n v="2973190"/>
    <x v="24"/>
  </r>
  <r>
    <x v="0"/>
    <s v="Southern Asia"/>
    <s v="Iran (Islamic Republic of)"/>
    <x v="0"/>
    <n v="95.67"/>
    <x v="34"/>
    <s v="NULL"/>
    <s v="NULL"/>
    <s v="NULL"/>
    <x v="6"/>
  </r>
  <r>
    <x v="0"/>
    <s v="Southern Asia"/>
    <s v="Iran (Islamic Republic of)"/>
    <x v="1"/>
    <n v="96"/>
    <x v="35"/>
    <s v="NULL"/>
    <s v="NULL"/>
    <s v="NULL"/>
    <x v="6"/>
  </r>
  <r>
    <x v="0"/>
    <s v="Southern Asia"/>
    <s v="Iran (Islamic Republic of)"/>
    <x v="2"/>
    <n v="96.33"/>
    <x v="36"/>
    <s v="NULL"/>
    <s v="NULL"/>
    <s v="NULL"/>
    <x v="6"/>
  </r>
  <r>
    <x v="0"/>
    <s v="Southern Asia"/>
    <s v="Iran (Islamic Republic of)"/>
    <x v="3"/>
    <n v="96.33"/>
    <x v="37"/>
    <s v="NULL"/>
    <s v="NULL"/>
    <s v="NULL"/>
    <x v="6"/>
  </r>
  <r>
    <x v="0"/>
    <s v="Southern Asia"/>
    <s v="Iran (Islamic Republic of)"/>
    <x v="4"/>
    <n v="96.33"/>
    <x v="38"/>
    <s v="NULL"/>
    <s v="NULL"/>
    <s v="NULL"/>
    <x v="6"/>
  </r>
  <r>
    <x v="0"/>
    <s v="Southern Asia"/>
    <s v="Iran (Islamic Republic of)"/>
    <x v="5"/>
    <n v="96.67"/>
    <x v="38"/>
    <s v="NULL"/>
    <s v="NULL"/>
    <s v="NULL"/>
    <x v="6"/>
  </r>
  <r>
    <x v="0"/>
    <s v="Southern Asia"/>
    <s v="Maldives"/>
    <x v="0"/>
    <n v="99"/>
    <x v="39"/>
    <n v="0.43558200000000002"/>
    <n v="4.1100000000000003"/>
    <n v="300"/>
    <x v="6"/>
  </r>
  <r>
    <x v="0"/>
    <s v="Southern Asia"/>
    <s v="Maldives"/>
    <x v="1"/>
    <n v="99"/>
    <x v="5"/>
    <n v="0.45425199999999999"/>
    <n v="4.38"/>
    <n v="300"/>
    <x v="25"/>
  </r>
  <r>
    <x v="0"/>
    <s v="Southern Asia"/>
    <s v="Maldives"/>
    <x v="2"/>
    <n v="99.33"/>
    <x v="7"/>
    <n v="0.47244199999999997"/>
    <n v="4.75"/>
    <n v="300"/>
    <x v="6"/>
  </r>
  <r>
    <x v="0"/>
    <s v="Southern Asia"/>
    <s v="Maldives"/>
    <x v="3"/>
    <n v="99.33"/>
    <x v="3"/>
    <n v="0.48975800000000003"/>
    <n v="5.3"/>
    <n v="300"/>
    <x v="6"/>
  </r>
  <r>
    <x v="0"/>
    <s v="Southern Asia"/>
    <s v="Maldives"/>
    <x v="4"/>
    <n v="99.67"/>
    <x v="40"/>
    <n v="0.50450799999999996"/>
    <n v="5.61"/>
    <n v="300"/>
    <x v="26"/>
  </r>
  <r>
    <x v="0"/>
    <s v="Southern Asia"/>
    <s v="Maldives"/>
    <x v="5"/>
    <n v="99.67"/>
    <x v="9"/>
    <n v="0.51443799999999995"/>
    <n v="3.75"/>
    <n v="300"/>
    <x v="6"/>
  </r>
  <r>
    <x v="0"/>
    <s v="Southern Asia"/>
    <s v="Nepal"/>
    <x v="0"/>
    <n v="88.33"/>
    <x v="41"/>
    <n v="27.610325"/>
    <n v="24.36"/>
    <n v="143350"/>
    <x v="27"/>
  </r>
  <r>
    <x v="0"/>
    <s v="Southern Asia"/>
    <s v="Nepal"/>
    <x v="1"/>
    <n v="88.67"/>
    <x v="42"/>
    <n v="27.861186"/>
    <n v="24.52"/>
    <n v="143350"/>
    <x v="6"/>
  </r>
  <r>
    <x v="0"/>
    <s v="Southern Asia"/>
    <s v="Nepal"/>
    <x v="2"/>
    <n v="89"/>
    <x v="43"/>
    <n v="28.183426000000001"/>
    <n v="28.97"/>
    <n v="143350"/>
    <x v="28"/>
  </r>
  <r>
    <x v="0"/>
    <s v="Southern Asia"/>
    <s v="Nepal"/>
    <x v="3"/>
    <n v="89.33"/>
    <x v="32"/>
    <n v="28.506712"/>
    <n v="33.11"/>
    <n v="143350"/>
    <x v="6"/>
  </r>
  <r>
    <x v="0"/>
    <s v="Southern Asia"/>
    <s v="Nepal"/>
    <x v="4"/>
    <n v="90"/>
    <x v="24"/>
    <n v="28.832495999999999"/>
    <n v="34.19"/>
    <n v="143350"/>
    <x v="6"/>
  </r>
  <r>
    <x v="0"/>
    <s v="Southern Asia"/>
    <s v="Nepal"/>
    <x v="5"/>
    <n v="90"/>
    <x v="27"/>
    <n v="29.348627"/>
    <n v="33.43"/>
    <n v="143350"/>
    <x v="6"/>
  </r>
  <r>
    <x v="0"/>
    <s v="Southern Asia"/>
    <s v="Pakistan"/>
    <x v="0"/>
    <n v="90"/>
    <x v="44"/>
    <n v="210.96929800000001"/>
    <n v="270.56"/>
    <n v="770880"/>
    <x v="29"/>
  </r>
  <r>
    <x v="0"/>
    <s v="Southern Asia"/>
    <s v="Pakistan"/>
    <x v="1"/>
    <n v="90"/>
    <x v="45"/>
    <n v="213.52484000000001"/>
    <n v="313.63"/>
    <n v="770880"/>
    <x v="6"/>
  </r>
  <r>
    <x v="0"/>
    <s v="Southern Asia"/>
    <s v="Pakistan"/>
    <x v="2"/>
    <n v="90.33"/>
    <x v="46"/>
    <n v="216.37965500000001"/>
    <n v="339.21"/>
    <n v="770880"/>
    <x v="6"/>
  </r>
  <r>
    <x v="0"/>
    <s v="Southern Asia"/>
    <s v="Pakistan"/>
    <x v="3"/>
    <n v="90.33"/>
    <x v="31"/>
    <n v="219.73147900000001"/>
    <n v="356.13"/>
    <n v="770880"/>
    <x v="30"/>
  </r>
  <r>
    <x v="0"/>
    <s v="Southern Asia"/>
    <s v="Pakistan"/>
    <x v="4"/>
    <n v="90.33"/>
    <x v="47"/>
    <n v="223.29328000000001"/>
    <n v="320.91000000000003"/>
    <n v="770880"/>
    <x v="31"/>
  </r>
  <r>
    <x v="0"/>
    <s v="Southern Asia"/>
    <s v="Pakistan"/>
    <x v="5"/>
    <n v="90.67"/>
    <x v="48"/>
    <n v="227.196741"/>
    <n v="300.43"/>
    <n v="770880"/>
    <x v="6"/>
  </r>
  <r>
    <x v="0"/>
    <s v="Southern Asia"/>
    <s v="Sri Lanka"/>
    <x v="0"/>
    <n v="92"/>
    <x v="49"/>
    <n v="20.97"/>
    <n v="85.14"/>
    <n v="61893"/>
    <x v="32"/>
  </r>
  <r>
    <x v="0"/>
    <s v="Southern Asia"/>
    <s v="Sri Lanka"/>
    <x v="1"/>
    <n v="93"/>
    <x v="50"/>
    <n v="21.202999999999999"/>
    <n v="88.01"/>
    <n v="61893"/>
    <x v="33"/>
  </r>
  <r>
    <x v="0"/>
    <s v="Southern Asia"/>
    <s v="Sri Lanka"/>
    <x v="2"/>
    <n v="93.67"/>
    <x v="51"/>
    <n v="21.443999999999999"/>
    <n v="94.38"/>
    <n v="61893"/>
    <x v="34"/>
  </r>
  <r>
    <x v="0"/>
    <s v="Southern Asia"/>
    <s v="Sri Lanka"/>
    <x v="3"/>
    <n v="94.33"/>
    <x v="52"/>
    <n v="21.67"/>
    <n v="94.49"/>
    <n v="61864"/>
    <x v="35"/>
  </r>
  <r>
    <x v="0"/>
    <s v="Southern Asia"/>
    <s v="Sri Lanka"/>
    <x v="4"/>
    <n v="94.33"/>
    <x v="52"/>
    <n v="21.803000000000001"/>
    <n v="89.01"/>
    <n v="61864.47"/>
    <x v="36"/>
  </r>
  <r>
    <x v="0"/>
    <s v="Southern Asia"/>
    <s v="Sri Lanka"/>
    <x v="5"/>
    <n v="94.33"/>
    <x v="52"/>
    <n v="21.919"/>
    <n v="85.35"/>
    <n v="61860"/>
    <x v="37"/>
  </r>
  <r>
    <x v="1"/>
    <s v="Eastern Asia"/>
    <s v="China"/>
    <x v="0"/>
    <n v="91.33"/>
    <x v="53"/>
    <n v="1379.86"/>
    <n v="11061.55"/>
    <n v="9424701.4000000004"/>
    <x v="6"/>
  </r>
  <r>
    <x v="1"/>
    <s v="Eastern Asia"/>
    <s v="China"/>
    <x v="1"/>
    <n v="91.33"/>
    <x v="54"/>
    <n v="1387.79"/>
    <n v="11233.28"/>
    <n v="9424700.5"/>
    <x v="6"/>
  </r>
  <r>
    <x v="1"/>
    <s v="Eastern Asia"/>
    <s v="China"/>
    <x v="2"/>
    <n v="92"/>
    <x v="35"/>
    <n v="1396.2149999999999"/>
    <n v="12310.41"/>
    <n v="9424700.8000000007"/>
    <x v="38"/>
  </r>
  <r>
    <x v="1"/>
    <s v="Eastern Asia"/>
    <s v="China"/>
    <x v="3"/>
    <n v="92.67"/>
    <x v="38"/>
    <n v="1402.76"/>
    <n v="13894.82"/>
    <n v="9424702.9000000004"/>
    <x v="0"/>
  </r>
  <r>
    <x v="1"/>
    <s v="Eastern Asia"/>
    <s v="China"/>
    <x v="4"/>
    <n v="93.33"/>
    <x v="55"/>
    <n v="1407.7449999999999"/>
    <n v="14279.94"/>
    <n v="9424702.9000000004"/>
    <x v="8"/>
  </r>
  <r>
    <x v="1"/>
    <s v="Eastern Asia"/>
    <s v="China"/>
    <x v="5"/>
    <n v="93.67"/>
    <x v="50"/>
    <n v="1411.1"/>
    <n v="14687.67"/>
    <n v="9424702.9000000004"/>
    <x v="39"/>
  </r>
  <r>
    <x v="1"/>
    <s v="Eastern Asia"/>
    <s v="Democratic People's Republic of Korea"/>
    <x v="0"/>
    <n v="94.67"/>
    <x v="56"/>
    <s v="NULL"/>
    <s v="NULL"/>
    <s v="NULL"/>
    <x v="6"/>
  </r>
  <r>
    <x v="1"/>
    <s v="Eastern Asia"/>
    <s v="Democratic People's Republic of Korea"/>
    <x v="1"/>
    <n v="94.33"/>
    <x v="57"/>
    <s v="NULL"/>
    <s v="NULL"/>
    <s v="NULL"/>
    <x v="6"/>
  </r>
  <r>
    <x v="1"/>
    <s v="Eastern Asia"/>
    <s v="Democratic People's Republic of Korea"/>
    <x v="2"/>
    <n v="94"/>
    <x v="58"/>
    <s v="NULL"/>
    <s v="NULL"/>
    <s v="NULL"/>
    <x v="6"/>
  </r>
  <r>
    <x v="1"/>
    <s v="Eastern Asia"/>
    <s v="Democratic People's Republic of Korea"/>
    <x v="3"/>
    <n v="93.33"/>
    <x v="59"/>
    <s v="NULL"/>
    <s v="NULL"/>
    <s v="NULL"/>
    <x v="6"/>
  </r>
  <r>
    <x v="1"/>
    <s v="Eastern Asia"/>
    <s v="Democratic People's Republic of Korea"/>
    <x v="4"/>
    <n v="93.33"/>
    <x v="60"/>
    <s v="NULL"/>
    <s v="NULL"/>
    <s v="NULL"/>
    <x v="6"/>
  </r>
  <r>
    <x v="1"/>
    <s v="Eastern Asia"/>
    <s v="Democratic People's Republic of Korea"/>
    <x v="5"/>
    <n v="93.33"/>
    <x v="60"/>
    <s v="NULL"/>
    <s v="NULL"/>
    <s v="NULL"/>
    <x v="6"/>
  </r>
  <r>
    <x v="1"/>
    <s v="Eastern Asia"/>
    <s v="Japan"/>
    <x v="0"/>
    <n v="99"/>
    <x v="10"/>
    <n v="127.14100000000001"/>
    <n v="4444.93"/>
    <n v="364500"/>
    <x v="40"/>
  </r>
  <r>
    <x v="1"/>
    <s v="Eastern Asia"/>
    <s v="Japan"/>
    <x v="1"/>
    <n v="99"/>
    <x v="10"/>
    <n v="127.07599999999999"/>
    <n v="5003.68"/>
    <n v="364500"/>
    <x v="41"/>
  </r>
  <r>
    <x v="1"/>
    <s v="Eastern Asia"/>
    <s v="Japan"/>
    <x v="2"/>
    <n v="99"/>
    <x v="10"/>
    <n v="126.97199999999999"/>
    <n v="4930.84"/>
    <n v="364500"/>
    <x v="42"/>
  </r>
  <r>
    <x v="1"/>
    <s v="Eastern Asia"/>
    <s v="Japan"/>
    <x v="3"/>
    <n v="99"/>
    <x v="10"/>
    <n v="126.81100000000001"/>
    <n v="5037.84"/>
    <n v="364500"/>
    <x v="43"/>
  </r>
  <r>
    <x v="1"/>
    <s v="Eastern Asia"/>
    <s v="Japan"/>
    <x v="4"/>
    <n v="99"/>
    <x v="10"/>
    <n v="126.633"/>
    <n v="5123.32"/>
    <n v="364500"/>
    <x v="44"/>
  </r>
  <r>
    <x v="1"/>
    <s v="Eastern Asia"/>
    <s v="Japan"/>
    <x v="5"/>
    <n v="99"/>
    <x v="10"/>
    <n v="126.261"/>
    <n v="5040.1099999999997"/>
    <n v="364500"/>
    <x v="45"/>
  </r>
  <r>
    <x v="1"/>
    <s v="Eastern Asia"/>
    <s v="Mongolia"/>
    <x v="0"/>
    <n v="75.67"/>
    <x v="61"/>
    <n v="2.9647489999999999"/>
    <n v="11.62"/>
    <n v="1557255.4"/>
    <x v="46"/>
  </r>
  <r>
    <x v="1"/>
    <s v="Eastern Asia"/>
    <s v="Mongolia"/>
    <x v="1"/>
    <n v="77"/>
    <x v="62"/>
    <n v="3.0295550000000002"/>
    <n v="11.18"/>
    <n v="1557255.4"/>
    <x v="47"/>
  </r>
  <r>
    <x v="1"/>
    <s v="Eastern Asia"/>
    <s v="Mongolia"/>
    <x v="2"/>
    <n v="78"/>
    <x v="63"/>
    <n v="3.0960299999999998"/>
    <n v="11.48"/>
    <n v="1557255.4"/>
    <x v="48"/>
  </r>
  <r>
    <x v="1"/>
    <s v="Eastern Asia"/>
    <s v="Mongolia"/>
    <x v="3"/>
    <n v="79"/>
    <x v="29"/>
    <n v="3.1639910000000002"/>
    <n v="13.18"/>
    <n v="1557255"/>
    <x v="49"/>
  </r>
  <r>
    <x v="1"/>
    <s v="Eastern Asia"/>
    <s v="Mongolia"/>
    <x v="4"/>
    <n v="80"/>
    <x v="64"/>
    <n v="3.2324299999999999"/>
    <n v="14.21"/>
    <n v="1557258"/>
    <x v="50"/>
  </r>
  <r>
    <x v="1"/>
    <s v="Eastern Asia"/>
    <s v="Mongolia"/>
    <x v="5"/>
    <n v="81"/>
    <x v="65"/>
    <n v="3.2943349999999998"/>
    <n v="13.31"/>
    <n v="1557506.8"/>
    <x v="51"/>
  </r>
  <r>
    <x v="1"/>
    <s v="Eastern Asia"/>
    <s v="Republic of Korea"/>
    <x v="0"/>
    <n v="99"/>
    <x v="10"/>
    <s v="NULL"/>
    <s v="NULL"/>
    <s v="NULL"/>
    <x v="6"/>
  </r>
  <r>
    <x v="1"/>
    <s v="Eastern Asia"/>
    <s v="Republic of Korea"/>
    <x v="1"/>
    <n v="100"/>
    <x v="10"/>
    <s v="NULL"/>
    <s v="NULL"/>
    <s v="NULL"/>
    <x v="6"/>
  </r>
  <r>
    <x v="1"/>
    <s v="Eastern Asia"/>
    <s v="Republic of Korea"/>
    <x v="2"/>
    <n v="100"/>
    <x v="10"/>
    <s v="NULL"/>
    <s v="NULL"/>
    <s v="NULL"/>
    <x v="6"/>
  </r>
  <r>
    <x v="1"/>
    <s v="Eastern Asia"/>
    <s v="Republic of Korea"/>
    <x v="3"/>
    <n v="100"/>
    <x v="10"/>
    <s v="NULL"/>
    <s v="NULL"/>
    <s v="NULL"/>
    <x v="6"/>
  </r>
  <r>
    <x v="1"/>
    <s v="Eastern Asia"/>
    <s v="Republic of Korea"/>
    <x v="4"/>
    <n v="100"/>
    <x v="10"/>
    <s v="NULL"/>
    <s v="NULL"/>
    <s v="NULL"/>
    <x v="6"/>
  </r>
  <r>
    <x v="1"/>
    <s v="Eastern Asia"/>
    <s v="Republic of Korea"/>
    <x v="5"/>
    <n v="100"/>
    <x v="10"/>
    <s v="NULL"/>
    <s v="NULL"/>
    <s v="NULL"/>
    <x v="6"/>
  </r>
  <r>
    <x v="1"/>
    <s v="South-Eastern Asia"/>
    <s v="Brunei Darussalam"/>
    <x v="0"/>
    <n v="99.67"/>
    <x v="66"/>
    <n v="0.42143700000000001"/>
    <n v="12.93"/>
    <n v="5270"/>
    <x v="6"/>
  </r>
  <r>
    <x v="1"/>
    <s v="South-Eastern Asia"/>
    <s v="Brunei Darussalam"/>
    <x v="1"/>
    <n v="100"/>
    <x v="67"/>
    <n v="0.42599399999999998"/>
    <n v="11.4"/>
    <n v="5270"/>
    <x v="6"/>
  </r>
  <r>
    <x v="1"/>
    <s v="South-Eastern Asia"/>
    <s v="Brunei Darussalam"/>
    <x v="2"/>
    <n v="100"/>
    <x v="67"/>
    <n v="0.43027599999999999"/>
    <n v="12.13"/>
    <n v="5270"/>
    <x v="52"/>
  </r>
  <r>
    <x v="1"/>
    <s v="South-Eastern Asia"/>
    <s v="Brunei Darussalam"/>
    <x v="3"/>
    <n v="100"/>
    <x v="67"/>
    <n v="0.43427399999999999"/>
    <n v="13.57"/>
    <n v="5270"/>
    <x v="53"/>
  </r>
  <r>
    <x v="1"/>
    <s v="South-Eastern Asia"/>
    <s v="Brunei Darussalam"/>
    <x v="4"/>
    <n v="100"/>
    <x v="67"/>
    <n v="0.43804799999999999"/>
    <n v="13.47"/>
    <n v="5270"/>
    <x v="54"/>
  </r>
  <r>
    <x v="1"/>
    <s v="South-Eastern Asia"/>
    <s v="Brunei Darussalam"/>
    <x v="5"/>
    <n v="100"/>
    <x v="67"/>
    <n v="0.44172499999999998"/>
    <n v="12.01"/>
    <n v="5270"/>
    <x v="55"/>
  </r>
  <r>
    <x v="1"/>
    <s v="South-Eastern Asia"/>
    <s v="Cambodia"/>
    <x v="0"/>
    <n v="73.33"/>
    <x v="68"/>
    <n v="15.417522999999999"/>
    <n v="18.05"/>
    <n v="176520"/>
    <x v="56"/>
  </r>
  <r>
    <x v="1"/>
    <s v="South-Eastern Asia"/>
    <s v="Cambodia"/>
    <x v="1"/>
    <n v="73.67"/>
    <x v="42"/>
    <n v="15.624584"/>
    <n v="20.02"/>
    <n v="176520"/>
    <x v="57"/>
  </r>
  <r>
    <x v="1"/>
    <s v="South-Eastern Asia"/>
    <s v="Cambodia"/>
    <x v="2"/>
    <n v="74.33"/>
    <x v="69"/>
    <n v="15.830689"/>
    <n v="22.18"/>
    <n v="176520"/>
    <x v="58"/>
  </r>
  <r>
    <x v="1"/>
    <s v="South-Eastern Asia"/>
    <s v="Cambodia"/>
    <x v="3"/>
    <n v="74.67"/>
    <x v="70"/>
    <n v="16.025238000000002"/>
    <n v="24.57"/>
    <n v="176520"/>
    <x v="6"/>
  </r>
  <r>
    <x v="1"/>
    <s v="South-Eastern Asia"/>
    <s v="Cambodia"/>
    <x v="4"/>
    <n v="75.33"/>
    <x v="23"/>
    <n v="16.207746"/>
    <n v="27.09"/>
    <n v="176520"/>
    <x v="59"/>
  </r>
  <r>
    <x v="1"/>
    <s v="South-Eastern Asia"/>
    <s v="Cambodia"/>
    <x v="5"/>
    <n v="75.33"/>
    <x v="25"/>
    <n v="16.39686"/>
    <n v="25.87"/>
    <n v="176520"/>
    <x v="6"/>
  </r>
  <r>
    <x v="1"/>
    <s v="South-Eastern Asia"/>
    <s v="Indonesia"/>
    <x v="0"/>
    <n v="88.33"/>
    <x v="24"/>
    <n v="259.09197"/>
    <n v="860.85"/>
    <n v="1877519"/>
    <x v="60"/>
  </r>
  <r>
    <x v="1"/>
    <s v="South-Eastern Asia"/>
    <s v="Indonesia"/>
    <x v="1"/>
    <n v="89"/>
    <x v="71"/>
    <n v="261.85018200000002"/>
    <n v="931.88"/>
    <n v="1877519"/>
    <x v="61"/>
  </r>
  <r>
    <x v="1"/>
    <s v="South-Eastern Asia"/>
    <s v="Indonesia"/>
    <x v="2"/>
    <n v="89.67"/>
    <x v="72"/>
    <n v="264.498852"/>
    <n v="1015.62"/>
    <n v="1877519"/>
    <x v="62"/>
  </r>
  <r>
    <x v="1"/>
    <s v="South-Eastern Asia"/>
    <s v="Indonesia"/>
    <x v="3"/>
    <n v="90.67"/>
    <x v="73"/>
    <n v="267.06684300000001"/>
    <n v="1042.27"/>
    <n v="1877519"/>
    <x v="63"/>
  </r>
  <r>
    <x v="1"/>
    <s v="South-Eastern Asia"/>
    <s v="Indonesia"/>
    <x v="4"/>
    <n v="91.33"/>
    <x v="60"/>
    <n v="269.58287799999999"/>
    <n v="1119.0999999999999"/>
    <n v="1877519"/>
    <x v="64"/>
  </r>
  <r>
    <x v="1"/>
    <s v="South-Eastern Asia"/>
    <s v="Indonesia"/>
    <x v="5"/>
    <n v="92"/>
    <x v="34"/>
    <n v="271.85797000000002"/>
    <n v="1058.69"/>
    <n v="1877519"/>
    <x v="65"/>
  </r>
  <r>
    <x v="1"/>
    <s v="South-Eastern Asia"/>
    <s v="Lao People's Democratic Republic"/>
    <x v="0"/>
    <n v="79.67"/>
    <x v="74"/>
    <s v="NULL"/>
    <s v="NULL"/>
    <s v="NULL"/>
    <x v="6"/>
  </r>
  <r>
    <x v="1"/>
    <s v="South-Eastern Asia"/>
    <s v="Lao People's Democratic Republic"/>
    <x v="1"/>
    <n v="82"/>
    <x v="75"/>
    <s v="NULL"/>
    <s v="NULL"/>
    <s v="NULL"/>
    <x v="6"/>
  </r>
  <r>
    <x v="1"/>
    <s v="South-Eastern Asia"/>
    <s v="Lao People's Democratic Republic"/>
    <x v="2"/>
    <n v="83.33"/>
    <x v="72"/>
    <s v="NULL"/>
    <s v="NULL"/>
    <s v="NULL"/>
    <x v="6"/>
  </r>
  <r>
    <x v="1"/>
    <s v="South-Eastern Asia"/>
    <s v="Lao People's Democratic Republic"/>
    <x v="3"/>
    <n v="85"/>
    <x v="76"/>
    <s v="NULL"/>
    <s v="NULL"/>
    <s v="NULL"/>
    <x v="6"/>
  </r>
  <r>
    <x v="1"/>
    <s v="South-Eastern Asia"/>
    <s v="Lao People's Democratic Republic"/>
    <x v="4"/>
    <n v="86.67"/>
    <x v="77"/>
    <s v="NULL"/>
    <s v="NULL"/>
    <s v="NULL"/>
    <x v="6"/>
  </r>
  <r>
    <x v="1"/>
    <s v="South-Eastern Asia"/>
    <s v="Lao People's Democratic Republic"/>
    <x v="5"/>
    <n v="86.67"/>
    <x v="77"/>
    <s v="NULL"/>
    <s v="NULL"/>
    <s v="NULL"/>
    <x v="6"/>
  </r>
  <r>
    <x v="1"/>
    <s v="South-Eastern Asia"/>
    <s v="Malaysia"/>
    <x v="0"/>
    <n v="95.67"/>
    <x v="78"/>
    <n v="31.068833000000001"/>
    <n v="301.35000000000002"/>
    <n v="328550"/>
    <x v="27"/>
  </r>
  <r>
    <x v="1"/>
    <s v="South-Eastern Asia"/>
    <s v="Malaysia"/>
    <x v="1"/>
    <n v="95.67"/>
    <x v="78"/>
    <n v="31.526418"/>
    <n v="301.26"/>
    <n v="328550"/>
    <x v="66"/>
  </r>
  <r>
    <x v="1"/>
    <s v="South-Eastern Asia"/>
    <s v="Malaysia"/>
    <x v="2"/>
    <n v="95.67"/>
    <x v="78"/>
    <n v="31.975805999999999"/>
    <n v="319.11"/>
    <n v="328550"/>
    <x v="67"/>
  </r>
  <r>
    <x v="1"/>
    <s v="South-Eastern Asia"/>
    <s v="Malaysia"/>
    <x v="3"/>
    <n v="95.33"/>
    <x v="78"/>
    <n v="32.399270999999999"/>
    <n v="358.79"/>
    <n v="328550"/>
    <x v="68"/>
  </r>
  <r>
    <x v="1"/>
    <s v="South-Eastern Asia"/>
    <s v="Malaysia"/>
    <x v="4"/>
    <n v="95.33"/>
    <x v="10"/>
    <n v="32.804020000000001"/>
    <n v="365.18"/>
    <n v="328550"/>
    <x v="69"/>
  </r>
  <r>
    <x v="1"/>
    <s v="South-Eastern Asia"/>
    <s v="Malaysia"/>
    <x v="5"/>
    <n v="95.33"/>
    <x v="10"/>
    <n v="33.199992999999999"/>
    <n v="337.34"/>
    <n v="328550"/>
    <x v="70"/>
  </r>
  <r>
    <x v="1"/>
    <s v="South-Eastern Asia"/>
    <s v="Myanmar"/>
    <x v="0"/>
    <n v="76.33"/>
    <x v="79"/>
    <n v="51.483949000000003"/>
    <n v="63.05"/>
    <n v="653080"/>
    <x v="71"/>
  </r>
  <r>
    <x v="1"/>
    <s v="South-Eastern Asia"/>
    <s v="Myanmar"/>
    <x v="1"/>
    <n v="78.33"/>
    <x v="24"/>
    <n v="51.892349000000003"/>
    <n v="60.29"/>
    <n v="652780"/>
    <x v="6"/>
  </r>
  <r>
    <x v="1"/>
    <s v="South-Eastern Asia"/>
    <s v="Myanmar"/>
    <x v="2"/>
    <n v="80.33"/>
    <x v="74"/>
    <n v="52.288341000000003"/>
    <n v="61.45"/>
    <n v="652750"/>
    <x v="72"/>
  </r>
  <r>
    <x v="1"/>
    <s v="South-Eastern Asia"/>
    <s v="Myanmar"/>
    <x v="3"/>
    <n v="82.33"/>
    <x v="25"/>
    <n v="52.666013999999997"/>
    <n v="67.14"/>
    <n v="652700"/>
    <x v="71"/>
  </r>
  <r>
    <x v="1"/>
    <s v="South-Eastern Asia"/>
    <s v="Myanmar"/>
    <x v="4"/>
    <n v="84"/>
    <x v="80"/>
    <n v="53.040211999999997"/>
    <n v="68.7"/>
    <n v="652700"/>
    <x v="73"/>
  </r>
  <r>
    <x v="1"/>
    <s v="South-Eastern Asia"/>
    <s v="Myanmar"/>
    <x v="5"/>
    <n v="85.67"/>
    <x v="81"/>
    <n v="53.423197999999999"/>
    <n v="78.930000000000007"/>
    <n v="652670"/>
    <x v="74"/>
  </r>
  <r>
    <x v="1"/>
    <s v="South-Eastern Asia"/>
    <s v="Philippines"/>
    <x v="0"/>
    <n v="92"/>
    <x v="71"/>
    <n v="103.03136499999999"/>
    <n v="306.45"/>
    <n v="298170"/>
    <x v="75"/>
  </r>
  <r>
    <x v="1"/>
    <s v="South-Eastern Asia"/>
    <s v="Philippines"/>
    <x v="1"/>
    <n v="92.67"/>
    <x v="27"/>
    <n v="104.875266"/>
    <n v="318.63"/>
    <n v="298170"/>
    <x v="76"/>
  </r>
  <r>
    <x v="1"/>
    <s v="South-Eastern Asia"/>
    <s v="Philippines"/>
    <x v="2"/>
    <n v="93"/>
    <x v="82"/>
    <n v="106.738501"/>
    <n v="328.48"/>
    <n v="298170"/>
    <x v="77"/>
  </r>
  <r>
    <x v="1"/>
    <s v="South-Eastern Asia"/>
    <s v="Philippines"/>
    <x v="3"/>
    <n v="93.33"/>
    <x v="83"/>
    <n v="108.568836"/>
    <n v="346.84"/>
    <n v="298170"/>
    <x v="78"/>
  </r>
  <r>
    <x v="1"/>
    <s v="South-Eastern Asia"/>
    <s v="Philippines"/>
    <x v="4"/>
    <n v="93.67"/>
    <x v="57"/>
    <n v="110.380804"/>
    <n v="376.82"/>
    <n v="298170"/>
    <x v="79"/>
  </r>
  <r>
    <x v="1"/>
    <s v="South-Eastern Asia"/>
    <s v="Philippines"/>
    <x v="5"/>
    <n v="94"/>
    <x v="77"/>
    <n v="112.190977"/>
    <n v="361.75"/>
    <n v="298170"/>
    <x v="80"/>
  </r>
  <r>
    <x v="1"/>
    <s v="South-Eastern Asia"/>
    <s v="Singapore"/>
    <x v="0"/>
    <n v="100"/>
    <x v="10"/>
    <n v="5.5350020000000004"/>
    <n v="308"/>
    <n v="709"/>
    <x v="81"/>
  </r>
  <r>
    <x v="1"/>
    <s v="South-Eastern Asia"/>
    <s v="Singapore"/>
    <x v="1"/>
    <n v="100"/>
    <x v="10"/>
    <n v="5.6072829999999998"/>
    <n v="318.83"/>
    <n v="709"/>
    <x v="30"/>
  </r>
  <r>
    <x v="1"/>
    <s v="South-Eastern Asia"/>
    <s v="Singapore"/>
    <x v="2"/>
    <n v="100"/>
    <x v="10"/>
    <n v="5.6122529999999999"/>
    <n v="343.19"/>
    <n v="712"/>
    <x v="82"/>
  </r>
  <r>
    <x v="1"/>
    <s v="South-Eastern Asia"/>
    <s v="Singapore"/>
    <x v="3"/>
    <n v="100"/>
    <x v="10"/>
    <n v="5.6386760000000002"/>
    <n v="377"/>
    <n v="714"/>
    <x v="6"/>
  </r>
  <r>
    <x v="1"/>
    <s v="South-Eastern Asia"/>
    <s v="Singapore"/>
    <x v="4"/>
    <n v="100"/>
    <x v="10"/>
    <n v="5.7035689999999999"/>
    <n v="375.47"/>
    <n v="716"/>
    <x v="27"/>
  </r>
  <r>
    <x v="1"/>
    <s v="South-Eastern Asia"/>
    <s v="Singapore"/>
    <x v="5"/>
    <n v="100"/>
    <x v="10"/>
    <n v="5.6858069999999996"/>
    <n v="345.3"/>
    <n v="718"/>
    <x v="83"/>
  </r>
  <r>
    <x v="1"/>
    <s v="South-Eastern Asia"/>
    <s v="Thailand"/>
    <x v="0"/>
    <n v="99.33"/>
    <x v="84"/>
    <n v="70.294397000000004"/>
    <n v="401.3"/>
    <n v="510890"/>
    <x v="84"/>
  </r>
  <r>
    <x v="1"/>
    <s v="South-Eastern Asia"/>
    <s v="Thailand"/>
    <x v="1"/>
    <n v="99.33"/>
    <x v="2"/>
    <n v="70.607037000000005"/>
    <n v="413.37"/>
    <n v="510890"/>
    <x v="85"/>
  </r>
  <r>
    <x v="1"/>
    <s v="South-Eastern Asia"/>
    <s v="Thailand"/>
    <x v="2"/>
    <n v="100"/>
    <x v="0"/>
    <n v="70.898201999999998"/>
    <n v="456.36"/>
    <n v="510890"/>
    <x v="86"/>
  </r>
  <r>
    <x v="1"/>
    <s v="South-Eastern Asia"/>
    <s v="Thailand"/>
    <x v="3"/>
    <n v="100"/>
    <x v="0"/>
    <n v="71.127802000000003"/>
    <n v="506.75"/>
    <n v="510890"/>
    <x v="71"/>
  </r>
  <r>
    <x v="1"/>
    <s v="South-Eastern Asia"/>
    <s v="Thailand"/>
    <x v="4"/>
    <n v="100"/>
    <x v="40"/>
    <n v="71.307762999999994"/>
    <n v="544.08000000000004"/>
    <n v="510890"/>
    <x v="57"/>
  </r>
  <r>
    <x v="1"/>
    <s v="South-Eastern Asia"/>
    <s v="Thailand"/>
    <x v="5"/>
    <n v="100"/>
    <x v="8"/>
    <n v="71.475663999999995"/>
    <n v="499.68"/>
    <n v="510890"/>
    <x v="87"/>
  </r>
  <r>
    <x v="1"/>
    <s v="South-Eastern Asia"/>
    <s v="Timor-Leste"/>
    <x v="0"/>
    <n v="78"/>
    <x v="85"/>
    <n v="1.205813"/>
    <n v="1.59"/>
    <n v="14870"/>
    <x v="6"/>
  </r>
  <r>
    <x v="1"/>
    <s v="South-Eastern Asia"/>
    <s v="Timor-Leste"/>
    <x v="1"/>
    <n v="80.67"/>
    <x v="86"/>
    <n v="1.2245619999999999"/>
    <n v="1.65"/>
    <n v="14870"/>
    <x v="88"/>
  </r>
  <r>
    <x v="1"/>
    <s v="South-Eastern Asia"/>
    <s v="Timor-Leste"/>
    <x v="2"/>
    <n v="82.33"/>
    <x v="87"/>
    <n v="1.2432350000000001"/>
    <n v="1.6"/>
    <n v="14870"/>
    <x v="6"/>
  </r>
  <r>
    <x v="1"/>
    <s v="South-Eastern Asia"/>
    <s v="Timor-Leste"/>
    <x v="3"/>
    <n v="84.33"/>
    <x v="88"/>
    <n v="1.2618450000000001"/>
    <n v="1.56"/>
    <n v="14870"/>
    <x v="6"/>
  </r>
  <r>
    <x v="1"/>
    <s v="South-Eastern Asia"/>
    <s v="Timor-Leste"/>
    <x v="4"/>
    <n v="86"/>
    <x v="89"/>
    <n v="1.280438"/>
    <n v="2.0299999999999998"/>
    <n v="14870"/>
    <x v="6"/>
  </r>
  <r>
    <x v="1"/>
    <s v="South-Eastern Asia"/>
    <s v="Timor-Leste"/>
    <x v="5"/>
    <n v="87"/>
    <x v="41"/>
    <n v="1.299995"/>
    <n v="2.16"/>
    <n v="14870"/>
    <x v="6"/>
  </r>
  <r>
    <x v="1"/>
    <s v="South-Eastern Asia"/>
    <s v="Viet Nam"/>
    <x v="0"/>
    <n v="94"/>
    <x v="90"/>
    <s v="NULL"/>
    <s v="NULL"/>
    <s v="NULL"/>
    <x v="6"/>
  </r>
  <r>
    <x v="1"/>
    <s v="South-Eastern Asia"/>
    <s v="Viet Nam"/>
    <x v="1"/>
    <n v="95"/>
    <x v="91"/>
    <s v="NULL"/>
    <s v="NULL"/>
    <s v="NULL"/>
    <x v="6"/>
  </r>
  <r>
    <x v="1"/>
    <s v="South-Eastern Asia"/>
    <s v="Viet Nam"/>
    <x v="2"/>
    <n v="95.67"/>
    <x v="54"/>
    <s v="NULL"/>
    <s v="NULL"/>
    <s v="NULL"/>
    <x v="6"/>
  </r>
  <r>
    <x v="1"/>
    <s v="South-Eastern Asia"/>
    <s v="Viet Nam"/>
    <x v="3"/>
    <n v="96.33"/>
    <x v="92"/>
    <s v="NULL"/>
    <s v="NULL"/>
    <s v="NULL"/>
    <x v="6"/>
  </r>
  <r>
    <x v="1"/>
    <s v="South-Eastern Asia"/>
    <s v="Viet Nam"/>
    <x v="4"/>
    <n v="96.67"/>
    <x v="93"/>
    <s v="NULL"/>
    <s v="NULL"/>
    <s v="NULL"/>
    <x v="6"/>
  </r>
  <r>
    <x v="1"/>
    <s v="South-Eastern Asia"/>
    <s v="Viet Nam"/>
    <x v="5"/>
    <n v="97.33"/>
    <x v="94"/>
    <s v="NULL"/>
    <s v="NULL"/>
    <s v="NULL"/>
    <x v="6"/>
  </r>
  <r>
    <x v="2"/>
    <s v="Northern America"/>
    <s v="Bermuda"/>
    <x v="0"/>
    <n v="100"/>
    <x v="10"/>
    <n v="6.5237000000000003E-2"/>
    <n v="6.65"/>
    <n v="54"/>
    <x v="6"/>
  </r>
  <r>
    <x v="2"/>
    <s v="Northern America"/>
    <s v="Bermuda"/>
    <x v="1"/>
    <n v="100"/>
    <x v="10"/>
    <n v="6.4554E-2"/>
    <n v="6.9"/>
    <n v="54"/>
    <x v="6"/>
  </r>
  <r>
    <x v="2"/>
    <s v="Northern America"/>
    <s v="Bermuda"/>
    <x v="2"/>
    <n v="100"/>
    <x v="10"/>
    <n v="6.3872999999999999E-2"/>
    <n v="7.14"/>
    <n v="54"/>
    <x v="6"/>
  </r>
  <r>
    <x v="2"/>
    <s v="Northern America"/>
    <s v="Bermuda"/>
    <x v="3"/>
    <n v="100"/>
    <x v="10"/>
    <n v="6.3918000000000003E-2"/>
    <n v="7.23"/>
    <n v="54"/>
    <x v="6"/>
  </r>
  <r>
    <x v="2"/>
    <s v="Northern America"/>
    <s v="Bermuda"/>
    <x v="4"/>
    <n v="100"/>
    <x v="10"/>
    <n v="6.3910999999999996E-2"/>
    <n v="7.42"/>
    <n v="54"/>
    <x v="6"/>
  </r>
  <r>
    <x v="2"/>
    <s v="Northern America"/>
    <s v="Bermuda"/>
    <x v="5"/>
    <n v="100"/>
    <x v="10"/>
    <n v="6.3893000000000005E-2"/>
    <n v="6.89"/>
    <n v="54"/>
    <x v="6"/>
  </r>
  <r>
    <x v="2"/>
    <s v="Northern America"/>
    <s v="Canada"/>
    <x v="0"/>
    <n v="99"/>
    <x v="95"/>
    <n v="35.702908000000001"/>
    <n v="1556.51"/>
    <n v="8965590"/>
    <x v="89"/>
  </r>
  <r>
    <x v="2"/>
    <s v="Northern America"/>
    <s v="Canada"/>
    <x v="1"/>
    <n v="99"/>
    <x v="95"/>
    <n v="36.109487000000001"/>
    <n v="1527.99"/>
    <n v="8965590"/>
    <x v="90"/>
  </r>
  <r>
    <x v="2"/>
    <s v="Northern America"/>
    <s v="Canada"/>
    <x v="2"/>
    <n v="99"/>
    <x v="95"/>
    <n v="36.545236000000003"/>
    <n v="1649.27"/>
    <n v="8965590"/>
    <x v="91"/>
  </r>
  <r>
    <x v="2"/>
    <s v="Northern America"/>
    <s v="Canada"/>
    <x v="3"/>
    <n v="99"/>
    <x v="95"/>
    <n v="37.065083999999999"/>
    <n v="1725.33"/>
    <n v="8965590"/>
    <x v="10"/>
  </r>
  <r>
    <x v="2"/>
    <s v="Northern America"/>
    <s v="Canada"/>
    <x v="4"/>
    <n v="99"/>
    <x v="95"/>
    <n v="37.601230000000001"/>
    <n v="1742.02"/>
    <n v="8965590"/>
    <x v="92"/>
  </r>
  <r>
    <x v="2"/>
    <s v="Northern America"/>
    <s v="Canada"/>
    <x v="5"/>
    <n v="99"/>
    <x v="95"/>
    <n v="38.037204000000003"/>
    <n v="1645.42"/>
    <n v="8965590"/>
    <x v="93"/>
  </r>
  <r>
    <x v="2"/>
    <s v="Northern America"/>
    <s v="Greenland"/>
    <x v="0"/>
    <n v="100"/>
    <x v="10"/>
    <n v="5.6113999999999997E-2"/>
    <n v="2.5"/>
    <n v="410450"/>
    <x v="94"/>
  </r>
  <r>
    <x v="2"/>
    <s v="Northern America"/>
    <s v="Greenland"/>
    <x v="1"/>
    <n v="100"/>
    <x v="10"/>
    <n v="5.6186E-2"/>
    <n v="2.71"/>
    <n v="410450"/>
    <x v="6"/>
  </r>
  <r>
    <x v="2"/>
    <s v="Northern America"/>
    <s v="Greenland"/>
    <x v="2"/>
    <n v="100"/>
    <x v="10"/>
    <n v="5.6170999999999999E-2"/>
    <n v="2.85"/>
    <n v="410450"/>
    <x v="6"/>
  </r>
  <r>
    <x v="2"/>
    <s v="Northern America"/>
    <s v="Greenland"/>
    <x v="3"/>
    <n v="100"/>
    <x v="10"/>
    <n v="5.6023000000000003E-2"/>
    <n v="3.06"/>
    <n v="410450"/>
    <x v="6"/>
  </r>
  <r>
    <x v="2"/>
    <s v="Northern America"/>
    <s v="Greenland"/>
    <x v="4"/>
    <n v="100"/>
    <x v="10"/>
    <n v="5.6224999999999997E-2"/>
    <n v="2.99"/>
    <n v="410450"/>
    <x v="6"/>
  </r>
  <r>
    <x v="2"/>
    <s v="Northern America"/>
    <s v="Greenland"/>
    <x v="5"/>
    <n v="100"/>
    <x v="10"/>
    <n v="5.6367E-2"/>
    <n v="3.08"/>
    <n v="410450"/>
    <x v="6"/>
  </r>
  <r>
    <x v="2"/>
    <s v="Northern America"/>
    <s v="Saint Pierre and Miquelon"/>
    <x v="0"/>
    <n v="91"/>
    <x v="10"/>
    <s v="NULL"/>
    <s v="NULL"/>
    <s v="NULL"/>
    <x v="6"/>
  </r>
  <r>
    <x v="2"/>
    <s v="Northern America"/>
    <s v="Saint Pierre and Miquelon"/>
    <x v="1"/>
    <n v="91"/>
    <x v="10"/>
    <s v="NULL"/>
    <s v="NULL"/>
    <s v="NULL"/>
    <x v="6"/>
  </r>
  <r>
    <x v="2"/>
    <s v="Northern America"/>
    <s v="Saint Pierre and Miquelon"/>
    <x v="2"/>
    <n v="91"/>
    <x v="10"/>
    <s v="NULL"/>
    <s v="NULL"/>
    <s v="NULL"/>
    <x v="6"/>
  </r>
  <r>
    <x v="2"/>
    <s v="Northern America"/>
    <s v="Saint Pierre and Miquelon"/>
    <x v="3"/>
    <n v="91"/>
    <x v="10"/>
    <s v="NULL"/>
    <s v="NULL"/>
    <s v="NULL"/>
    <x v="6"/>
  </r>
  <r>
    <x v="2"/>
    <s v="Northern America"/>
    <s v="Saint Pierre and Miquelon"/>
    <x v="4"/>
    <n v="91"/>
    <x v="10"/>
    <s v="NULL"/>
    <s v="NULL"/>
    <s v="NULL"/>
    <x v="6"/>
  </r>
  <r>
    <x v="2"/>
    <s v="Northern America"/>
    <s v="Saint Pierre and Miquelon"/>
    <x v="5"/>
    <n v="91"/>
    <x v="10"/>
    <s v="NULL"/>
    <s v="NULL"/>
    <s v="NULL"/>
    <x v="6"/>
  </r>
  <r>
    <x v="2"/>
    <s v="Northern America"/>
    <s v="United States of America"/>
    <x v="0"/>
    <n v="99"/>
    <x v="78"/>
    <s v="NULL"/>
    <s v="NULL"/>
    <s v="NULL"/>
    <x v="6"/>
  </r>
  <r>
    <x v="2"/>
    <s v="Northern America"/>
    <s v="United States of America"/>
    <x v="1"/>
    <n v="99.33"/>
    <x v="78"/>
    <s v="NULL"/>
    <s v="NULL"/>
    <s v="NULL"/>
    <x v="6"/>
  </r>
  <r>
    <x v="2"/>
    <s v="Northern America"/>
    <s v="United States of America"/>
    <x v="2"/>
    <n v="99.67"/>
    <x v="78"/>
    <s v="NULL"/>
    <s v="NULL"/>
    <s v="NULL"/>
    <x v="6"/>
  </r>
  <r>
    <x v="2"/>
    <s v="Northern America"/>
    <s v="United States of America"/>
    <x v="3"/>
    <n v="99.67"/>
    <x v="78"/>
    <s v="NULL"/>
    <s v="NULL"/>
    <s v="NULL"/>
    <x v="6"/>
  </r>
  <r>
    <x v="2"/>
    <s v="Northern America"/>
    <s v="United States of America"/>
    <x v="4"/>
    <n v="99.67"/>
    <x v="78"/>
    <s v="NULL"/>
    <s v="NULL"/>
    <s v="NULL"/>
    <x v="6"/>
  </r>
  <r>
    <x v="2"/>
    <s v="Northern America"/>
    <s v="United States of America"/>
    <x v="5"/>
    <n v="100"/>
    <x v="78"/>
    <s v="NULL"/>
    <s v="NULL"/>
    <s v="NULL"/>
    <x v="6"/>
  </r>
  <r>
    <x v="3"/>
    <s v="Caribbean"/>
    <s v="Anguilla"/>
    <x v="0"/>
    <n v="97"/>
    <x v="84"/>
    <s v="NULL"/>
    <s v="NULL"/>
    <s v="NULL"/>
    <x v="6"/>
  </r>
  <r>
    <x v="3"/>
    <s v="Caribbean"/>
    <s v="Anguilla"/>
    <x v="1"/>
    <n v="97"/>
    <x v="84"/>
    <s v="NULL"/>
    <s v="NULL"/>
    <s v="NULL"/>
    <x v="6"/>
  </r>
  <r>
    <x v="3"/>
    <s v="Caribbean"/>
    <s v="Anguilla"/>
    <x v="2"/>
    <n v="97"/>
    <x v="84"/>
    <s v="NULL"/>
    <s v="NULL"/>
    <s v="NULL"/>
    <x v="6"/>
  </r>
  <r>
    <x v="3"/>
    <s v="Caribbean"/>
    <s v="Antigua and Barbuda"/>
    <x v="0"/>
    <n v="97"/>
    <x v="37"/>
    <n v="8.9940999999999993E-2"/>
    <n v="1.34"/>
    <n v="440"/>
    <x v="6"/>
  </r>
  <r>
    <x v="3"/>
    <s v="Caribbean"/>
    <s v="Antigua and Barbuda"/>
    <x v="1"/>
    <n v="97"/>
    <x v="37"/>
    <n v="9.0564000000000006E-2"/>
    <n v="1.44"/>
    <n v="440"/>
    <x v="6"/>
  </r>
  <r>
    <x v="3"/>
    <s v="Caribbean"/>
    <s v="Antigua and Barbuda"/>
    <x v="2"/>
    <n v="97"/>
    <x v="37"/>
    <n v="9.1119000000000006E-2"/>
    <n v="1.47"/>
    <n v="440"/>
    <x v="6"/>
  </r>
  <r>
    <x v="3"/>
    <s v="Caribbean"/>
    <s v="Aruba"/>
    <x v="0"/>
    <n v="98"/>
    <x v="0"/>
    <n v="0.104257"/>
    <n v="2.96"/>
    <n v="180"/>
    <x v="6"/>
  </r>
  <r>
    <x v="3"/>
    <s v="Caribbean"/>
    <s v="Aruba"/>
    <x v="1"/>
    <n v="98"/>
    <x v="0"/>
    <n v="0.104874"/>
    <n v="2.98"/>
    <n v="180"/>
    <x v="6"/>
  </r>
  <r>
    <x v="3"/>
    <s v="Caribbean"/>
    <s v="Bahamas"/>
    <x v="0"/>
    <n v="99"/>
    <x v="4"/>
    <s v="NULL"/>
    <s v="NULL"/>
    <s v="NULL"/>
    <x v="6"/>
  </r>
  <r>
    <x v="3"/>
    <s v="Caribbean"/>
    <s v="Bahamas"/>
    <x v="1"/>
    <n v="99"/>
    <x v="4"/>
    <s v="NULL"/>
    <s v="NULL"/>
    <s v="NULL"/>
    <x v="6"/>
  </r>
  <r>
    <x v="3"/>
    <s v="Caribbean"/>
    <s v="Bahamas"/>
    <x v="2"/>
    <n v="99"/>
    <x v="4"/>
    <s v="NULL"/>
    <s v="NULL"/>
    <s v="NULL"/>
    <x v="6"/>
  </r>
  <r>
    <x v="3"/>
    <s v="Caribbean"/>
    <s v="Bahamas"/>
    <x v="3"/>
    <n v="99"/>
    <x v="4"/>
    <s v="NULL"/>
    <s v="NULL"/>
    <s v="NULL"/>
    <x v="6"/>
  </r>
  <r>
    <x v="3"/>
    <s v="Caribbean"/>
    <s v="Bahamas"/>
    <x v="4"/>
    <n v="99"/>
    <x v="4"/>
    <s v="NULL"/>
    <s v="NULL"/>
    <s v="NULL"/>
    <x v="6"/>
  </r>
  <r>
    <x v="3"/>
    <s v="Caribbean"/>
    <s v="Barbados"/>
    <x v="0"/>
    <n v="98"/>
    <x v="66"/>
    <n v="0.27808300000000002"/>
    <n v="4.72"/>
    <n v="430"/>
    <x v="95"/>
  </r>
  <r>
    <x v="3"/>
    <s v="Caribbean"/>
    <s v="Barbados"/>
    <x v="1"/>
    <n v="98"/>
    <x v="84"/>
    <n v="0.27864899999999998"/>
    <n v="4.83"/>
    <n v="430"/>
    <x v="96"/>
  </r>
  <r>
    <x v="3"/>
    <s v="Caribbean"/>
    <s v="Barbados"/>
    <x v="2"/>
    <n v="98"/>
    <x v="84"/>
    <n v="0.27918700000000002"/>
    <n v="4.9800000000000004"/>
    <n v="430"/>
    <x v="97"/>
  </r>
  <r>
    <x v="3"/>
    <s v="Caribbean"/>
    <s v="Barbados"/>
    <x v="3"/>
    <n v="99"/>
    <x v="84"/>
    <n v="0.27968799999999999"/>
    <n v="5.0999999999999996"/>
    <n v="430"/>
    <x v="98"/>
  </r>
  <r>
    <x v="3"/>
    <s v="Caribbean"/>
    <s v="Barbados"/>
    <x v="4"/>
    <n v="99"/>
    <x v="0"/>
    <n v="0.28017999999999998"/>
    <n v="5.32"/>
    <n v="430"/>
    <x v="99"/>
  </r>
  <r>
    <x v="3"/>
    <s v="Caribbean"/>
    <s v="Barbados"/>
    <x v="5"/>
    <n v="99"/>
    <x v="0"/>
    <n v="0.28069300000000003"/>
    <n v="4.67"/>
    <n v="430"/>
    <x v="6"/>
  </r>
  <r>
    <x v="3"/>
    <s v="Caribbean"/>
    <s v="British Virgin Islands"/>
    <x v="0"/>
    <n v="100"/>
    <x v="84"/>
    <n v="2.9366E-2"/>
    <s v="NULL"/>
    <n v="150"/>
    <x v="6"/>
  </r>
  <r>
    <x v="3"/>
    <s v="Caribbean"/>
    <s v="British Virgin Islands"/>
    <x v="1"/>
    <n v="100"/>
    <x v="84"/>
    <n v="2.9739000000000002E-2"/>
    <s v="NULL"/>
    <n v="150"/>
    <x v="6"/>
  </r>
  <r>
    <x v="3"/>
    <s v="Caribbean"/>
    <s v="British Virgin Islands"/>
    <x v="2"/>
    <n v="100"/>
    <x v="67"/>
    <n v="3.006E-2"/>
    <s v="NULL"/>
    <n v="150"/>
    <x v="6"/>
  </r>
  <r>
    <x v="3"/>
    <s v="Caribbean"/>
    <s v="British Virgin Islands"/>
    <x v="3"/>
    <n v="100"/>
    <x v="67"/>
    <n v="3.0335000000000001E-2"/>
    <s v="NULL"/>
    <n v="150"/>
    <x v="6"/>
  </r>
  <r>
    <x v="3"/>
    <s v="Caribbean"/>
    <s v="British Virgin Islands"/>
    <x v="4"/>
    <n v="100"/>
    <x v="67"/>
    <n v="3.0609999999999998E-2"/>
    <s v="NULL"/>
    <n v="150"/>
    <x v="6"/>
  </r>
  <r>
    <x v="3"/>
    <s v="Caribbean"/>
    <s v="British Virgin Islands"/>
    <x v="5"/>
    <n v="100"/>
    <x v="67"/>
    <n v="3.091E-2"/>
    <s v="NULL"/>
    <n v="150"/>
    <x v="6"/>
  </r>
  <r>
    <x v="3"/>
    <s v="Caribbean"/>
    <s v="Cayman Islands"/>
    <x v="0"/>
    <n v="96"/>
    <x v="96"/>
    <n v="6.0911E-2"/>
    <n v="4.71"/>
    <n v="240"/>
    <x v="33"/>
  </r>
  <r>
    <x v="3"/>
    <s v="Caribbean"/>
    <s v="Cayman Islands"/>
    <x v="1"/>
    <n v="96"/>
    <x v="96"/>
    <n v="6.2254999999999998E-2"/>
    <n v="4.91"/>
    <n v="240"/>
    <x v="6"/>
  </r>
  <r>
    <x v="3"/>
    <s v="Caribbean"/>
    <s v="Cuba"/>
    <x v="0"/>
    <n v="94.67"/>
    <x v="97"/>
    <n v="11.339893999999999"/>
    <n v="87.13"/>
    <n v="104100"/>
    <x v="100"/>
  </r>
  <r>
    <x v="3"/>
    <s v="Caribbean"/>
    <s v="Cuba"/>
    <x v="1"/>
    <n v="95"/>
    <x v="93"/>
    <n v="11.342012"/>
    <n v="91.37"/>
    <n v="104040"/>
    <x v="101"/>
  </r>
  <r>
    <x v="3"/>
    <s v="Caribbean"/>
    <s v="Cuba"/>
    <x v="2"/>
    <n v="95.33"/>
    <x v="98"/>
    <n v="11.336404999999999"/>
    <n v="96.85"/>
    <n v="103800"/>
    <x v="102"/>
  </r>
  <r>
    <x v="3"/>
    <s v="Caribbean"/>
    <s v="Cuba"/>
    <x v="3"/>
    <n v="96"/>
    <x v="99"/>
    <n v="11.328244"/>
    <n v="100.05"/>
    <n v="103800"/>
    <x v="102"/>
  </r>
  <r>
    <x v="3"/>
    <s v="Caribbean"/>
    <s v="Cuba"/>
    <x v="4"/>
    <n v="96.33"/>
    <x v="94"/>
    <n v="11.316697"/>
    <n v="103.43"/>
    <n v="103800"/>
    <x v="6"/>
  </r>
  <r>
    <x v="3"/>
    <s v="Caribbean"/>
    <s v="Cuba"/>
    <x v="5"/>
    <n v="96.33"/>
    <x v="94"/>
    <n v="11.300698000000001"/>
    <n v="107.35"/>
    <n v="103800"/>
    <x v="6"/>
  </r>
  <r>
    <x v="3"/>
    <s v="Caribbean"/>
    <s v="CuraÃ§ao"/>
    <x v="0"/>
    <n v="99"/>
    <x v="95"/>
    <s v="NULL"/>
    <s v="NULL"/>
    <s v="NULL"/>
    <x v="6"/>
  </r>
  <r>
    <x v="3"/>
    <s v="Caribbean"/>
    <s v="CuraÃ§ao"/>
    <x v="1"/>
    <n v="99"/>
    <x v="95"/>
    <s v="NULL"/>
    <s v="NULL"/>
    <s v="NULL"/>
    <x v="6"/>
  </r>
  <r>
    <x v="3"/>
    <s v="Caribbean"/>
    <s v="CuraÃ§ao"/>
    <x v="2"/>
    <n v="99"/>
    <x v="95"/>
    <s v="NULL"/>
    <s v="NULL"/>
    <s v="NULL"/>
    <x v="6"/>
  </r>
  <r>
    <x v="3"/>
    <s v="Caribbean"/>
    <s v="Dominica"/>
    <x v="0"/>
    <n v="95"/>
    <x v="76"/>
    <n v="7.0007E-2"/>
    <n v="0.54"/>
    <n v="750"/>
    <x v="6"/>
  </r>
  <r>
    <x v="3"/>
    <s v="Caribbean"/>
    <s v="Dominica"/>
    <x v="1"/>
    <n v="95"/>
    <x v="76"/>
    <n v="7.0074999999999998E-2"/>
    <n v="0.57999999999999996"/>
    <n v="750"/>
    <x v="6"/>
  </r>
  <r>
    <x v="3"/>
    <s v="Caribbean"/>
    <s v="Dominica"/>
    <x v="2"/>
    <n v="95"/>
    <x v="76"/>
    <n v="7.0402999999999993E-2"/>
    <n v="0.52"/>
    <n v="750"/>
    <x v="6"/>
  </r>
  <r>
    <x v="3"/>
    <s v="Caribbean"/>
    <s v="Dominican Republic"/>
    <x v="0"/>
    <n v="94.33"/>
    <x v="100"/>
    <n v="10.405832"/>
    <n v="71.16"/>
    <n v="48310"/>
    <x v="103"/>
  </r>
  <r>
    <x v="3"/>
    <s v="Caribbean"/>
    <s v="Dominican Republic"/>
    <x v="1"/>
    <n v="94.67"/>
    <x v="90"/>
    <n v="10.527592"/>
    <n v="75.7"/>
    <n v="48310"/>
    <x v="104"/>
  </r>
  <r>
    <x v="3"/>
    <s v="Caribbean"/>
    <s v="Dominican Republic"/>
    <x v="2"/>
    <n v="94.67"/>
    <x v="60"/>
    <n v="10.647244000000001"/>
    <n v="80"/>
    <n v="48310"/>
    <x v="10"/>
  </r>
  <r>
    <x v="3"/>
    <s v="Caribbean"/>
    <s v="Dominican Republic"/>
    <x v="3"/>
    <n v="95"/>
    <x v="53"/>
    <n v="10.765530999999999"/>
    <n v="85.56"/>
    <n v="48310"/>
    <x v="105"/>
  </r>
  <r>
    <x v="3"/>
    <s v="Caribbean"/>
    <s v="Dominican Republic"/>
    <x v="4"/>
    <n v="95"/>
    <x v="101"/>
    <n v="10.881881999999999"/>
    <n v="88.94"/>
    <n v="48310"/>
    <x v="106"/>
  </r>
  <r>
    <x v="3"/>
    <s v="Caribbean"/>
    <s v="Dominican Republic"/>
    <x v="5"/>
    <n v="95"/>
    <x v="101"/>
    <n v="10.999663999999999"/>
    <n v="78.84"/>
    <n v="48310"/>
    <x v="107"/>
  </r>
  <r>
    <x v="3"/>
    <s v="Caribbean"/>
    <s v="Grenada"/>
    <x v="0"/>
    <n v="96"/>
    <x v="102"/>
    <n v="0.11898"/>
    <n v="1"/>
    <n v="340"/>
    <x v="108"/>
  </r>
  <r>
    <x v="3"/>
    <s v="Caribbean"/>
    <s v="Grenada"/>
    <x v="1"/>
    <n v="96"/>
    <x v="102"/>
    <n v="0.119966"/>
    <n v="1.06"/>
    <n v="340"/>
    <x v="6"/>
  </r>
  <r>
    <x v="3"/>
    <s v="Caribbean"/>
    <s v="Grenada"/>
    <x v="2"/>
    <n v="96"/>
    <x v="102"/>
    <n v="0.120921"/>
    <n v="1.1299999999999999"/>
    <n v="340"/>
    <x v="6"/>
  </r>
  <r>
    <x v="3"/>
    <s v="Caribbean"/>
    <s v="Guadeloupe"/>
    <x v="0"/>
    <n v="100"/>
    <x v="95"/>
    <s v="NULL"/>
    <s v="NULL"/>
    <s v="NULL"/>
    <x v="6"/>
  </r>
  <r>
    <x v="3"/>
    <s v="Caribbean"/>
    <s v="Guadeloupe"/>
    <x v="1"/>
    <n v="100"/>
    <x v="95"/>
    <s v="NULL"/>
    <s v="NULL"/>
    <s v="NULL"/>
    <x v="6"/>
  </r>
  <r>
    <x v="3"/>
    <s v="Caribbean"/>
    <s v="Guadeloupe"/>
    <x v="2"/>
    <n v="100"/>
    <x v="95"/>
    <s v="NULL"/>
    <s v="NULL"/>
    <s v="NULL"/>
    <x v="6"/>
  </r>
  <r>
    <x v="3"/>
    <s v="Caribbean"/>
    <s v="Guadeloupe"/>
    <x v="3"/>
    <n v="100"/>
    <x v="95"/>
    <s v="NULL"/>
    <s v="NULL"/>
    <s v="NULL"/>
    <x v="6"/>
  </r>
  <r>
    <x v="3"/>
    <s v="Caribbean"/>
    <s v="Guadeloupe"/>
    <x v="4"/>
    <n v="100"/>
    <x v="10"/>
    <s v="NULL"/>
    <s v="NULL"/>
    <s v="NULL"/>
    <x v="6"/>
  </r>
  <r>
    <x v="3"/>
    <s v="Caribbean"/>
    <s v="Guadeloupe"/>
    <x v="5"/>
    <n v="100"/>
    <x v="10"/>
    <s v="NULL"/>
    <s v="NULL"/>
    <s v="NULL"/>
    <x v="6"/>
  </r>
  <r>
    <x v="3"/>
    <s v="Caribbean"/>
    <s v="Haiti"/>
    <x v="0"/>
    <n v="64"/>
    <x v="103"/>
    <n v="10.563757000000001"/>
    <n v="14.83"/>
    <n v="27560"/>
    <x v="6"/>
  </r>
  <r>
    <x v="3"/>
    <s v="Caribbean"/>
    <s v="Haiti"/>
    <x v="1"/>
    <n v="64.33"/>
    <x v="104"/>
    <n v="10.713849"/>
    <n v="13.99"/>
    <n v="27560"/>
    <x v="6"/>
  </r>
  <r>
    <x v="3"/>
    <s v="Caribbean"/>
    <s v="Haiti"/>
    <x v="2"/>
    <n v="64.33"/>
    <x v="105"/>
    <n v="10.863543"/>
    <n v="15.04"/>
    <n v="27560"/>
    <x v="6"/>
  </r>
  <r>
    <x v="3"/>
    <s v="Caribbean"/>
    <s v="Haiti"/>
    <x v="3"/>
    <n v="64.67"/>
    <x v="106"/>
    <n v="11.012421"/>
    <n v="16.46"/>
    <n v="27560"/>
    <x v="6"/>
  </r>
  <r>
    <x v="3"/>
    <s v="Caribbean"/>
    <s v="Haiti"/>
    <x v="4"/>
    <n v="64.67"/>
    <x v="107"/>
    <n v="11.160437999999999"/>
    <n v="14.79"/>
    <n v="27560"/>
    <x v="6"/>
  </r>
  <r>
    <x v="3"/>
    <s v="Caribbean"/>
    <s v="Haiti"/>
    <x v="5"/>
    <n v="65"/>
    <x v="107"/>
    <n v="11.306801"/>
    <n v="14.51"/>
    <n v="27560"/>
    <x v="6"/>
  </r>
  <r>
    <x v="3"/>
    <s v="Caribbean"/>
    <s v="Jamaica"/>
    <x v="0"/>
    <n v="90"/>
    <x v="34"/>
    <n v="2.7944450000000001"/>
    <n v="14.19"/>
    <n v="10830"/>
    <x v="109"/>
  </r>
  <r>
    <x v="3"/>
    <s v="Caribbean"/>
    <s v="Jamaica"/>
    <x v="1"/>
    <n v="90.33"/>
    <x v="34"/>
    <n v="2.8026949999999999"/>
    <n v="14.08"/>
    <n v="10830"/>
    <x v="110"/>
  </r>
  <r>
    <x v="3"/>
    <s v="Caribbean"/>
    <s v="Jamaica"/>
    <x v="2"/>
    <n v="90.33"/>
    <x v="108"/>
    <n v="2.808376"/>
    <n v="14.81"/>
    <n v="10830"/>
    <x v="111"/>
  </r>
  <r>
    <x v="3"/>
    <s v="Caribbean"/>
    <s v="Jamaica"/>
    <x v="3"/>
    <n v="90.33"/>
    <x v="109"/>
    <n v="2.8118349999999999"/>
    <n v="15.73"/>
    <n v="10830"/>
    <x v="112"/>
  </r>
  <r>
    <x v="3"/>
    <s v="Caribbean"/>
    <s v="Jamaica"/>
    <x v="4"/>
    <n v="90.33"/>
    <x v="35"/>
    <n v="2.8137729999999999"/>
    <n v="15.83"/>
    <n v="10830"/>
    <x v="113"/>
  </r>
  <r>
    <x v="3"/>
    <s v="Caribbean"/>
    <s v="Jamaica"/>
    <x v="5"/>
    <n v="90.33"/>
    <x v="35"/>
    <n v="2.8204359999999999"/>
    <n v="13.81"/>
    <n v="10830"/>
    <x v="114"/>
  </r>
  <r>
    <x v="3"/>
    <s v="Caribbean"/>
    <s v="Martinique"/>
    <x v="0"/>
    <n v="100"/>
    <x v="95"/>
    <s v="NULL"/>
    <s v="NULL"/>
    <s v="NULL"/>
    <x v="6"/>
  </r>
  <r>
    <x v="3"/>
    <s v="Caribbean"/>
    <s v="Martinique"/>
    <x v="1"/>
    <n v="100"/>
    <x v="95"/>
    <s v="NULL"/>
    <s v="NULL"/>
    <s v="NULL"/>
    <x v="6"/>
  </r>
  <r>
    <x v="3"/>
    <s v="Caribbean"/>
    <s v="Martinique"/>
    <x v="2"/>
    <n v="100"/>
    <x v="95"/>
    <s v="NULL"/>
    <s v="NULL"/>
    <s v="NULL"/>
    <x v="6"/>
  </r>
  <r>
    <x v="3"/>
    <s v="Caribbean"/>
    <s v="Martinique"/>
    <x v="3"/>
    <n v="100"/>
    <x v="95"/>
    <s v="NULL"/>
    <s v="NULL"/>
    <s v="NULL"/>
    <x v="6"/>
  </r>
  <r>
    <x v="3"/>
    <s v="Caribbean"/>
    <s v="Martinique"/>
    <x v="4"/>
    <n v="100"/>
    <x v="10"/>
    <s v="NULL"/>
    <s v="NULL"/>
    <s v="NULL"/>
    <x v="6"/>
  </r>
  <r>
    <x v="3"/>
    <s v="Caribbean"/>
    <s v="Martinique"/>
    <x v="5"/>
    <n v="100"/>
    <x v="10"/>
    <s v="NULL"/>
    <s v="NULL"/>
    <s v="NULL"/>
    <x v="6"/>
  </r>
  <r>
    <x v="3"/>
    <s v="Caribbean"/>
    <s v="Montserrat"/>
    <x v="0"/>
    <n v="98"/>
    <x v="35"/>
    <s v="NULL"/>
    <s v="NULL"/>
    <s v="NULL"/>
    <x v="6"/>
  </r>
  <r>
    <x v="3"/>
    <s v="Caribbean"/>
    <s v="Montserrat"/>
    <x v="1"/>
    <n v="98"/>
    <x v="37"/>
    <s v="NULL"/>
    <s v="NULL"/>
    <s v="NULL"/>
    <x v="6"/>
  </r>
  <r>
    <x v="3"/>
    <s v="Caribbean"/>
    <s v="Montserrat"/>
    <x v="2"/>
    <n v="98"/>
    <x v="37"/>
    <s v="NULL"/>
    <s v="NULL"/>
    <s v="NULL"/>
    <x v="6"/>
  </r>
  <r>
    <x v="3"/>
    <s v="Caribbean"/>
    <s v="Montserrat"/>
    <x v="3"/>
    <n v="98"/>
    <x v="37"/>
    <s v="NULL"/>
    <s v="NULL"/>
    <s v="NULL"/>
    <x v="6"/>
  </r>
  <r>
    <x v="3"/>
    <s v="Caribbean"/>
    <s v="Montserrat"/>
    <x v="4"/>
    <n v="98"/>
    <x v="93"/>
    <s v="NULL"/>
    <s v="NULL"/>
    <s v="NULL"/>
    <x v="6"/>
  </r>
  <r>
    <x v="3"/>
    <s v="Caribbean"/>
    <s v="Montserrat"/>
    <x v="5"/>
    <n v="98"/>
    <x v="93"/>
    <s v="NULL"/>
    <s v="NULL"/>
    <s v="NULL"/>
    <x v="6"/>
  </r>
  <r>
    <x v="3"/>
    <s v="Caribbean"/>
    <s v="Puerto Rico"/>
    <x v="0"/>
    <n v="99"/>
    <x v="10"/>
    <n v="3.4732319999999999"/>
    <n v="103.38"/>
    <n v="8870"/>
    <x v="115"/>
  </r>
  <r>
    <x v="3"/>
    <s v="Caribbean"/>
    <s v="Puerto Rico"/>
    <x v="1"/>
    <n v="100"/>
    <x v="10"/>
    <n v="3.4066719999999999"/>
    <n v="104.34"/>
    <n v="8870"/>
    <x v="116"/>
  </r>
  <r>
    <x v="3"/>
    <s v="Caribbean"/>
    <s v="Puerto Rico"/>
    <x v="2"/>
    <n v="100"/>
    <x v="10"/>
    <n v="3.3252860000000002"/>
    <n v="103.45"/>
    <n v="8870"/>
    <x v="117"/>
  </r>
  <r>
    <x v="3"/>
    <s v="Caribbean"/>
    <s v="Puerto Rico"/>
    <x v="3"/>
    <n v="100"/>
    <x v="10"/>
    <n v="3.1933539999999998"/>
    <n v="100.96"/>
    <n v="8870"/>
    <x v="118"/>
  </r>
  <r>
    <x v="3"/>
    <s v="Caribbean"/>
    <s v="Puerto Rico"/>
    <x v="4"/>
    <n v="100"/>
    <x v="10"/>
    <n v="3.1936939999999998"/>
    <n v="105.13"/>
    <n v="8870"/>
    <x v="119"/>
  </r>
  <r>
    <x v="3"/>
    <s v="Caribbean"/>
    <s v="Puerto Rico"/>
    <x v="5"/>
    <n v="100"/>
    <x v="10"/>
    <n v="3.2815379999999998"/>
    <n v="103.02"/>
    <n v="8870"/>
    <x v="6"/>
  </r>
  <r>
    <x v="3"/>
    <s v="Caribbean"/>
    <s v="Saint BarthÃ©lemy"/>
    <x v="0"/>
    <n v="100"/>
    <x v="10"/>
    <s v="NULL"/>
    <s v="NULL"/>
    <s v="NULL"/>
    <x v="6"/>
  </r>
  <r>
    <x v="3"/>
    <s v="Caribbean"/>
    <s v="Saint BarthÃ©lemy"/>
    <x v="1"/>
    <n v="100"/>
    <x v="10"/>
    <s v="NULL"/>
    <s v="NULL"/>
    <s v="NULL"/>
    <x v="6"/>
  </r>
  <r>
    <x v="3"/>
    <s v="Caribbean"/>
    <s v="Saint BarthÃ©lemy"/>
    <x v="2"/>
    <n v="100"/>
    <x v="10"/>
    <s v="NULL"/>
    <s v="NULL"/>
    <s v="NULL"/>
    <x v="6"/>
  </r>
  <r>
    <x v="3"/>
    <s v="Caribbean"/>
    <s v="Saint BarthÃ©lemy"/>
    <x v="3"/>
    <n v="100"/>
    <x v="10"/>
    <s v="NULL"/>
    <s v="NULL"/>
    <s v="NULL"/>
    <x v="6"/>
  </r>
  <r>
    <x v="3"/>
    <s v="Caribbean"/>
    <s v="Saint BarthÃ©lemy"/>
    <x v="4"/>
    <n v="100"/>
    <x v="10"/>
    <s v="NULL"/>
    <s v="NULL"/>
    <s v="NULL"/>
    <x v="6"/>
  </r>
  <r>
    <x v="3"/>
    <s v="Caribbean"/>
    <s v="Saint BarthÃ©lemy"/>
    <x v="5"/>
    <n v="100"/>
    <x v="10"/>
    <s v="NULL"/>
    <s v="NULL"/>
    <s v="NULL"/>
    <x v="6"/>
  </r>
  <r>
    <x v="3"/>
    <s v="Caribbean"/>
    <s v="Saint Kitts and Nevis"/>
    <x v="0"/>
    <n v="99"/>
    <x v="4"/>
    <s v="NULL"/>
    <s v="NULL"/>
    <s v="NULL"/>
    <x v="6"/>
  </r>
  <r>
    <x v="3"/>
    <s v="Caribbean"/>
    <s v="Saint Kitts and Nevis"/>
    <x v="1"/>
    <n v="99"/>
    <x v="4"/>
    <s v="NULL"/>
    <s v="NULL"/>
    <s v="NULL"/>
    <x v="6"/>
  </r>
  <r>
    <x v="3"/>
    <s v="Caribbean"/>
    <s v="Saint Kitts and Nevis"/>
    <x v="2"/>
    <n v="99"/>
    <x v="4"/>
    <s v="NULL"/>
    <s v="NULL"/>
    <s v="NULL"/>
    <x v="6"/>
  </r>
  <r>
    <x v="3"/>
    <s v="Caribbean"/>
    <s v="Saint Lucia"/>
    <x v="0"/>
    <n v="96"/>
    <x v="110"/>
    <s v="NULL"/>
    <s v="NULL"/>
    <s v="NULL"/>
    <x v="6"/>
  </r>
  <r>
    <x v="3"/>
    <s v="Caribbean"/>
    <s v="Saint Lucia"/>
    <x v="1"/>
    <n v="96.33"/>
    <x v="58"/>
    <s v="NULL"/>
    <s v="NULL"/>
    <s v="NULL"/>
    <x v="6"/>
  </r>
  <r>
    <x v="3"/>
    <s v="Caribbean"/>
    <s v="Saint Lucia"/>
    <x v="2"/>
    <n v="96.33"/>
    <x v="77"/>
    <s v="NULL"/>
    <s v="NULL"/>
    <s v="NULL"/>
    <x v="6"/>
  </r>
  <r>
    <x v="3"/>
    <s v="Caribbean"/>
    <s v="Saint Lucia"/>
    <x v="3"/>
    <n v="97"/>
    <x v="77"/>
    <s v="NULL"/>
    <s v="NULL"/>
    <s v="NULL"/>
    <x v="6"/>
  </r>
  <r>
    <x v="3"/>
    <s v="Caribbean"/>
    <s v="Saint Lucia"/>
    <x v="4"/>
    <n v="97"/>
    <x v="77"/>
    <s v="NULL"/>
    <s v="NULL"/>
    <s v="NULL"/>
    <x v="6"/>
  </r>
  <r>
    <x v="3"/>
    <s v="Caribbean"/>
    <s v="Saint Lucia"/>
    <x v="5"/>
    <n v="97"/>
    <x v="77"/>
    <s v="NULL"/>
    <s v="NULL"/>
    <s v="NULL"/>
    <x v="6"/>
  </r>
  <r>
    <x v="3"/>
    <s v="Caribbean"/>
    <s v="Saint Martin (French Part)"/>
    <x v="0"/>
    <n v="100"/>
    <x v="10"/>
    <s v="NULL"/>
    <s v="NULL"/>
    <s v="NULL"/>
    <x v="6"/>
  </r>
  <r>
    <x v="3"/>
    <s v="Caribbean"/>
    <s v="Saint Martin (French Part)"/>
    <x v="1"/>
    <n v="100"/>
    <x v="10"/>
    <s v="NULL"/>
    <s v="NULL"/>
    <s v="NULL"/>
    <x v="6"/>
  </r>
  <r>
    <x v="3"/>
    <s v="Caribbean"/>
    <s v="Saint Martin (French Part)"/>
    <x v="2"/>
    <n v="100"/>
    <x v="10"/>
    <s v="NULL"/>
    <s v="NULL"/>
    <s v="NULL"/>
    <x v="6"/>
  </r>
  <r>
    <x v="3"/>
    <s v="Caribbean"/>
    <s v="Saint Martin (French Part)"/>
    <x v="3"/>
    <n v="100"/>
    <x v="10"/>
    <s v="NULL"/>
    <s v="NULL"/>
    <s v="NULL"/>
    <x v="6"/>
  </r>
  <r>
    <x v="3"/>
    <s v="Caribbean"/>
    <s v="Saint Martin (French Part)"/>
    <x v="4"/>
    <n v="100"/>
    <x v="10"/>
    <s v="NULL"/>
    <s v="NULL"/>
    <s v="NULL"/>
    <x v="6"/>
  </r>
  <r>
    <x v="3"/>
    <s v="Caribbean"/>
    <s v="Saint Martin (French Part)"/>
    <x v="5"/>
    <n v="100"/>
    <x v="10"/>
    <s v="NULL"/>
    <s v="NULL"/>
    <s v="NULL"/>
    <x v="6"/>
  </r>
  <r>
    <x v="3"/>
    <s v="Caribbean"/>
    <s v="Saint Vincent and the Grenadines"/>
    <x v="0"/>
    <n v="95"/>
    <x v="35"/>
    <s v="NULL"/>
    <s v="NULL"/>
    <s v="NULL"/>
    <x v="6"/>
  </r>
  <r>
    <x v="3"/>
    <s v="Caribbean"/>
    <s v="Saint Vincent and the Grenadines"/>
    <x v="1"/>
    <n v="95"/>
    <x v="35"/>
    <s v="NULL"/>
    <s v="NULL"/>
    <s v="NULL"/>
    <x v="6"/>
  </r>
  <r>
    <x v="3"/>
    <s v="Caribbean"/>
    <s v="Saint Vincent and the Grenadines"/>
    <x v="2"/>
    <n v="95"/>
    <x v="35"/>
    <s v="NULL"/>
    <s v="NULL"/>
    <s v="NULL"/>
    <x v="6"/>
  </r>
  <r>
    <x v="3"/>
    <s v="Caribbean"/>
    <s v="Saint Vincent and the Grenadines"/>
    <x v="3"/>
    <n v="95"/>
    <x v="35"/>
    <s v="NULL"/>
    <s v="NULL"/>
    <s v="NULL"/>
    <x v="6"/>
  </r>
  <r>
    <x v="3"/>
    <s v="Caribbean"/>
    <s v="Sint Maarten (Dutch part)"/>
    <x v="0"/>
    <n v="95"/>
    <x v="95"/>
    <n v="3.8824999999999998E-2"/>
    <n v="1.25"/>
    <n v="34"/>
    <x v="6"/>
  </r>
  <r>
    <x v="3"/>
    <s v="Caribbean"/>
    <s v="Sint Maarten (Dutch part)"/>
    <x v="1"/>
    <n v="95"/>
    <x v="95"/>
    <n v="3.9968999999999998E-2"/>
    <n v="1.26"/>
    <n v="34"/>
    <x v="6"/>
  </r>
  <r>
    <x v="3"/>
    <s v="Caribbean"/>
    <s v="Sint Maarten (Dutch part)"/>
    <x v="2"/>
    <n v="95"/>
    <x v="95"/>
    <n v="4.0573999999999999E-2"/>
    <n v="1.19"/>
    <n v="34"/>
    <x v="6"/>
  </r>
  <r>
    <x v="3"/>
    <s v="Caribbean"/>
    <s v="Trinidad and Tobago"/>
    <x v="0"/>
    <n v="98"/>
    <x v="111"/>
    <n v="1.4601770000000001"/>
    <n v="26.85"/>
    <n v="5130"/>
    <x v="120"/>
  </r>
  <r>
    <x v="3"/>
    <s v="Caribbean"/>
    <s v="Trinidad and Tobago"/>
    <x v="1"/>
    <n v="99"/>
    <x v="111"/>
    <n v="1.46933"/>
    <n v="23.5"/>
    <n v="5130"/>
    <x v="121"/>
  </r>
  <r>
    <x v="3"/>
    <s v="Caribbean"/>
    <s v="Trinidad and Tobago"/>
    <x v="2"/>
    <n v="99"/>
    <x v="111"/>
    <n v="1.478607"/>
    <n v="23.8"/>
    <n v="5130"/>
    <x v="6"/>
  </r>
  <r>
    <x v="3"/>
    <s v="Caribbean"/>
    <s v="Trinidad and Tobago"/>
    <x v="3"/>
    <n v="99"/>
    <x v="111"/>
    <n v="1.5047090000000001"/>
    <n v="24.32"/>
    <n v="5130"/>
    <x v="6"/>
  </r>
  <r>
    <x v="3"/>
    <s v="Caribbean"/>
    <s v="Trinidad and Tobago"/>
    <x v="4"/>
    <n v="99"/>
    <x v="111"/>
    <n v="1.5199549999999999"/>
    <n v="23.85"/>
    <n v="5130"/>
    <x v="122"/>
  </r>
  <r>
    <x v="3"/>
    <s v="Caribbean"/>
    <s v="Trinidad and Tobago"/>
    <x v="5"/>
    <n v="99"/>
    <x v="111"/>
    <n v="1.5181469999999999"/>
    <n v="21.06"/>
    <n v="5130"/>
    <x v="123"/>
  </r>
  <r>
    <x v="3"/>
    <s v="Caribbean"/>
    <s v="Turks and Caicos Islands"/>
    <x v="0"/>
    <n v="94"/>
    <x v="37"/>
    <n v="3.6538000000000001E-2"/>
    <n v="0.94"/>
    <n v="950"/>
    <x v="6"/>
  </r>
  <r>
    <x v="3"/>
    <s v="Caribbean"/>
    <s v="Turks and Caicos Islands"/>
    <x v="1"/>
    <n v="94"/>
    <x v="37"/>
    <n v="3.8246000000000002E-2"/>
    <n v="1.03"/>
    <n v="950"/>
    <x v="6"/>
  </r>
  <r>
    <x v="3"/>
    <s v="Caribbean"/>
    <s v="Turks and Caicos Islands"/>
    <x v="2"/>
    <n v="94"/>
    <x v="37"/>
    <n v="3.9843999999999997E-2"/>
    <n v="1.02"/>
    <n v="950"/>
    <x v="6"/>
  </r>
  <r>
    <x v="3"/>
    <s v="Caribbean"/>
    <s v="Turks and Caicos Islands"/>
    <x v="3"/>
    <n v="94"/>
    <x v="37"/>
    <n v="4.1487000000000003E-2"/>
    <n v="1.1100000000000001"/>
    <n v="950"/>
    <x v="6"/>
  </r>
  <r>
    <x v="3"/>
    <s v="Caribbean"/>
    <s v="United States Virgin Islands"/>
    <x v="0"/>
    <n v="99"/>
    <x v="95"/>
    <s v="NULL"/>
    <s v="NULL"/>
    <s v="NULL"/>
    <x v="6"/>
  </r>
  <r>
    <x v="3"/>
    <s v="Caribbean"/>
    <s v="United States Virgin Islands"/>
    <x v="1"/>
    <n v="99"/>
    <x v="95"/>
    <s v="NULL"/>
    <s v="NULL"/>
    <s v="NULL"/>
    <x v="6"/>
  </r>
  <r>
    <x v="3"/>
    <s v="Caribbean"/>
    <s v="United States Virgin Islands"/>
    <x v="2"/>
    <n v="99"/>
    <x v="95"/>
    <s v="NULL"/>
    <s v="NULL"/>
    <s v="NULL"/>
    <x v="6"/>
  </r>
  <r>
    <x v="3"/>
    <s v="Caribbean"/>
    <s v="United States Virgin Islands"/>
    <x v="3"/>
    <n v="99"/>
    <x v="95"/>
    <s v="NULL"/>
    <s v="NULL"/>
    <s v="NULL"/>
    <x v="6"/>
  </r>
  <r>
    <x v="3"/>
    <s v="Caribbean"/>
    <s v="United States Virgin Islands"/>
    <x v="4"/>
    <n v="99"/>
    <x v="95"/>
    <s v="NULL"/>
    <s v="NULL"/>
    <s v="NULL"/>
    <x v="6"/>
  </r>
  <r>
    <x v="3"/>
    <s v="Caribbean"/>
    <s v="United States Virgin Islands"/>
    <x v="5"/>
    <n v="99"/>
    <x v="95"/>
    <s v="NULL"/>
    <s v="NULL"/>
    <s v="NULL"/>
    <x v="6"/>
  </r>
  <r>
    <x v="3"/>
    <s v="Central America"/>
    <s v="Belize"/>
    <x v="0"/>
    <n v="97.33"/>
    <x v="92"/>
    <n v="0.359871"/>
    <n v="2.21"/>
    <n v="22810"/>
    <x v="124"/>
  </r>
  <r>
    <x v="3"/>
    <s v="Central America"/>
    <s v="Belize"/>
    <x v="1"/>
    <n v="97.67"/>
    <x v="37"/>
    <n v="0.367313"/>
    <n v="2.2599999999999998"/>
    <n v="22810"/>
    <x v="90"/>
  </r>
  <r>
    <x v="3"/>
    <s v="Central America"/>
    <s v="Belize"/>
    <x v="2"/>
    <n v="98"/>
    <x v="37"/>
    <n v="0.374693"/>
    <n v="2.29"/>
    <n v="22810"/>
    <x v="54"/>
  </r>
  <r>
    <x v="3"/>
    <s v="Central America"/>
    <s v="Belize"/>
    <x v="3"/>
    <n v="98.33"/>
    <x v="97"/>
    <n v="0.38206600000000002"/>
    <n v="2.31"/>
    <n v="22810"/>
    <x v="6"/>
  </r>
  <r>
    <x v="3"/>
    <s v="Central America"/>
    <s v="Belize"/>
    <x v="4"/>
    <n v="98.33"/>
    <x v="97"/>
    <n v="0.38909500000000002"/>
    <n v="2.42"/>
    <n v="22810"/>
    <x v="125"/>
  </r>
  <r>
    <x v="3"/>
    <s v="Central America"/>
    <s v="Belize"/>
    <x v="5"/>
    <n v="98.33"/>
    <x v="97"/>
    <n v="0.39492100000000002"/>
    <n v="2.08"/>
    <n v="22810"/>
    <x v="6"/>
  </r>
  <r>
    <x v="3"/>
    <s v="Central America"/>
    <s v="Costa Rica"/>
    <x v="0"/>
    <n v="99"/>
    <x v="7"/>
    <n v="4.8952419999999996"/>
    <n v="56.44"/>
    <n v="51060"/>
    <x v="126"/>
  </r>
  <r>
    <x v="3"/>
    <s v="Central America"/>
    <s v="Costa Rica"/>
    <x v="1"/>
    <n v="99.67"/>
    <x v="1"/>
    <n v="4.9452049999999996"/>
    <n v="58.85"/>
    <n v="51060"/>
    <x v="127"/>
  </r>
  <r>
    <x v="3"/>
    <s v="Central America"/>
    <s v="Costa Rica"/>
    <x v="2"/>
    <n v="100"/>
    <x v="1"/>
    <n v="4.9938419999999999"/>
    <n v="60.52"/>
    <n v="51060"/>
    <x v="128"/>
  </r>
  <r>
    <x v="3"/>
    <s v="Central America"/>
    <s v="Costa Rica"/>
    <x v="3"/>
    <n v="100"/>
    <x v="2"/>
    <n v="5.0407339999999996"/>
    <n v="62.42"/>
    <n v="51060"/>
    <x v="129"/>
  </r>
  <r>
    <x v="3"/>
    <s v="Central America"/>
    <s v="Costa Rica"/>
    <x v="4"/>
    <n v="100"/>
    <x v="2"/>
    <n v="5.0845320000000003"/>
    <n v="64.42"/>
    <n v="51060"/>
    <x v="130"/>
  </r>
  <r>
    <x v="3"/>
    <s v="Central America"/>
    <s v="Costa Rica"/>
    <x v="5"/>
    <n v="100"/>
    <x v="3"/>
    <n v="5.1231049999999998"/>
    <n v="62.16"/>
    <n v="51060"/>
    <x v="131"/>
  </r>
  <r>
    <x v="3"/>
    <s v="Central America"/>
    <s v="El Salvador"/>
    <x v="0"/>
    <n v="94.33"/>
    <x v="57"/>
    <n v="6.2310660000000002"/>
    <n v="23.44"/>
    <n v="20720"/>
    <x v="132"/>
  </r>
  <r>
    <x v="3"/>
    <s v="Central America"/>
    <s v="El Salvador"/>
    <x v="1"/>
    <n v="95.33"/>
    <x v="57"/>
    <n v="6.2505100000000002"/>
    <n v="24.19"/>
    <n v="20720"/>
    <x v="133"/>
  </r>
  <r>
    <x v="3"/>
    <s v="Central America"/>
    <s v="El Salvador"/>
    <x v="2"/>
    <n v="96"/>
    <x v="73"/>
    <n v="6.2666539999999999"/>
    <n v="24.98"/>
    <n v="20720"/>
    <x v="63"/>
  </r>
  <r>
    <x v="3"/>
    <s v="Central America"/>
    <s v="El Salvador"/>
    <x v="3"/>
    <n v="97"/>
    <x v="56"/>
    <n v="6.2763419999999996"/>
    <n v="26.02"/>
    <n v="20720"/>
    <x v="134"/>
  </r>
  <r>
    <x v="3"/>
    <s v="Central America"/>
    <s v="El Salvador"/>
    <x v="4"/>
    <n v="97"/>
    <x v="56"/>
    <n v="6.2802170000000004"/>
    <n v="26.88"/>
    <n v="20720"/>
    <x v="135"/>
  </r>
  <r>
    <x v="3"/>
    <s v="Central America"/>
    <s v="El Salvador"/>
    <x v="5"/>
    <n v="97"/>
    <x v="112"/>
    <n v="6.2927309999999999"/>
    <n v="24.56"/>
    <n v="20720"/>
    <x v="136"/>
  </r>
  <r>
    <x v="3"/>
    <s v="Central America"/>
    <s v="Guatemala"/>
    <x v="0"/>
    <n v="92"/>
    <x v="31"/>
    <n v="15.567418999999999"/>
    <n v="62.19"/>
    <n v="107160"/>
    <x v="137"/>
  </r>
  <r>
    <x v="3"/>
    <s v="Central America"/>
    <s v="Guatemala"/>
    <x v="1"/>
    <n v="92.33"/>
    <x v="31"/>
    <n v="15.82769"/>
    <n v="66.05"/>
    <n v="107160"/>
    <x v="138"/>
  </r>
  <r>
    <x v="3"/>
    <s v="Central America"/>
    <s v="Guatemala"/>
    <x v="2"/>
    <n v="92.67"/>
    <x v="31"/>
    <n v="16.087418"/>
    <n v="71.650000000000006"/>
    <n v="107160"/>
    <x v="139"/>
  </r>
  <r>
    <x v="3"/>
    <s v="Central America"/>
    <s v="Guatemala"/>
    <x v="3"/>
    <n v="93"/>
    <x v="113"/>
    <n v="16.34695"/>
    <n v="73.33"/>
    <n v="107160"/>
    <x v="140"/>
  </r>
  <r>
    <x v="3"/>
    <s v="Central America"/>
    <s v="Guatemala"/>
    <x v="4"/>
    <n v="94"/>
    <x v="114"/>
    <n v="16.604026000000001"/>
    <n v="77.17"/>
    <n v="107160"/>
    <x v="141"/>
  </r>
  <r>
    <x v="3"/>
    <s v="Central America"/>
    <s v="Guatemala"/>
    <x v="5"/>
    <n v="94"/>
    <x v="114"/>
    <n v="16.858332999999998"/>
    <n v="77.63"/>
    <n v="107160"/>
    <x v="6"/>
  </r>
  <r>
    <x v="3"/>
    <s v="Central America"/>
    <s v="Honduras"/>
    <x v="0"/>
    <n v="92.67"/>
    <x v="115"/>
    <n v="9.2945049999999991"/>
    <n v="20.98"/>
    <n v="111890"/>
    <x v="142"/>
  </r>
  <r>
    <x v="3"/>
    <s v="Central America"/>
    <s v="Honduras"/>
    <x v="1"/>
    <n v="93.33"/>
    <x v="112"/>
    <n v="9.4607980000000005"/>
    <n v="21.72"/>
    <n v="111890"/>
    <x v="143"/>
  </r>
  <r>
    <x v="3"/>
    <s v="Central America"/>
    <s v="Honduras"/>
    <x v="2"/>
    <n v="93.67"/>
    <x v="73"/>
    <n v="9.6268419999999999"/>
    <n v="23.14"/>
    <n v="111890"/>
    <x v="144"/>
  </r>
  <r>
    <x v="3"/>
    <s v="Central America"/>
    <s v="Honduras"/>
    <x v="3"/>
    <n v="94.33"/>
    <x v="58"/>
    <n v="9.7928499999999996"/>
    <n v="24.07"/>
    <n v="111890"/>
    <x v="145"/>
  </r>
  <r>
    <x v="3"/>
    <s v="Central America"/>
    <s v="Honduras"/>
    <x v="4"/>
    <n v="94.67"/>
    <x v="59"/>
    <n v="9.9588289999999997"/>
    <n v="25.09"/>
    <n v="111890"/>
    <x v="146"/>
  </r>
  <r>
    <x v="3"/>
    <s v="Central America"/>
    <s v="Honduras"/>
    <x v="5"/>
    <n v="95.33"/>
    <x v="60"/>
    <n v="10.121763"/>
    <n v="23.83"/>
    <n v="111890"/>
    <x v="147"/>
  </r>
  <r>
    <x v="3"/>
    <s v="Central America"/>
    <s v="Mexico"/>
    <x v="0"/>
    <n v="96.67"/>
    <x v="108"/>
    <n v="120.149897"/>
    <n v="1171.8699999999999"/>
    <n v="1943950"/>
    <x v="148"/>
  </r>
  <r>
    <x v="3"/>
    <s v="Central America"/>
    <s v="Mexico"/>
    <x v="1"/>
    <n v="97.33"/>
    <x v="92"/>
    <n v="121.519221"/>
    <n v="1078.49"/>
    <n v="1943950"/>
    <x v="149"/>
  </r>
  <r>
    <x v="3"/>
    <s v="Central America"/>
    <s v="Mexico"/>
    <x v="2"/>
    <n v="98"/>
    <x v="37"/>
    <n v="122.839258"/>
    <n v="1158.9100000000001"/>
    <n v="1943950"/>
    <x v="150"/>
  </r>
  <r>
    <x v="3"/>
    <s v="Central America"/>
    <s v="Mexico"/>
    <x v="3"/>
    <n v="98.33"/>
    <x v="93"/>
    <n v="124.01386100000001"/>
    <n v="1222.4100000000001"/>
    <n v="1943950"/>
    <x v="151"/>
  </r>
  <r>
    <x v="3"/>
    <s v="Central America"/>
    <s v="Mexico"/>
    <x v="4"/>
    <n v="98.67"/>
    <x v="94"/>
    <n v="125.085311"/>
    <n v="1269.01"/>
    <n v="1943950"/>
    <x v="152"/>
  </r>
  <r>
    <x v="3"/>
    <s v="Central America"/>
    <s v="Mexico"/>
    <x v="5"/>
    <n v="99.33"/>
    <x v="49"/>
    <n v="125.998302"/>
    <n v="1090.52"/>
    <n v="1943950"/>
    <x v="153"/>
  </r>
  <r>
    <x v="3"/>
    <s v="Central America"/>
    <s v="Nicaragua"/>
    <x v="0"/>
    <n v="79.33"/>
    <x v="116"/>
    <n v="6.2985980000000001"/>
    <n v="12.76"/>
    <n v="120340"/>
    <x v="154"/>
  </r>
  <r>
    <x v="3"/>
    <s v="Central America"/>
    <s v="Nicaragua"/>
    <x v="1"/>
    <n v="79"/>
    <x v="23"/>
    <n v="6.3892350000000002"/>
    <n v="13.29"/>
    <n v="120340"/>
    <x v="38"/>
  </r>
  <r>
    <x v="3"/>
    <s v="Central America"/>
    <s v="Nicaragua"/>
    <x v="2"/>
    <n v="79"/>
    <x v="23"/>
    <n v="6.4805320000000002"/>
    <n v="13.79"/>
    <n v="120340"/>
    <x v="68"/>
  </r>
  <r>
    <x v="3"/>
    <s v="Central America"/>
    <s v="Nicaragua"/>
    <x v="3"/>
    <n v="79.33"/>
    <x v="23"/>
    <n v="6.5722329999999998"/>
    <n v="13.03"/>
    <n v="120340"/>
    <x v="155"/>
  </r>
  <r>
    <x v="3"/>
    <s v="Central America"/>
    <s v="Nicaragua"/>
    <x v="4"/>
    <n v="79.33"/>
    <x v="23"/>
    <n v="6.6639239999999997"/>
    <n v="12.6"/>
    <n v="120340"/>
    <x v="6"/>
  </r>
  <r>
    <x v="3"/>
    <s v="Central America"/>
    <s v="Nicaragua"/>
    <x v="5"/>
    <n v="79.33"/>
    <x v="23"/>
    <n v="6.7558949999999998"/>
    <n v="12.59"/>
    <n v="120340"/>
    <x v="6"/>
  </r>
  <r>
    <x v="3"/>
    <s v="Central America"/>
    <s v="Panama"/>
    <x v="0"/>
    <n v="91.67"/>
    <x v="75"/>
    <n v="3.9570989999999999"/>
    <n v="54.09"/>
    <n v="74120"/>
    <x v="156"/>
  </r>
  <r>
    <x v="3"/>
    <s v="Central America"/>
    <s v="Panama"/>
    <x v="1"/>
    <n v="91.67"/>
    <x v="27"/>
    <n v="4.0263359999999997"/>
    <n v="57.91"/>
    <n v="74120"/>
    <x v="157"/>
  </r>
  <r>
    <x v="3"/>
    <s v="Central America"/>
    <s v="Panama"/>
    <x v="2"/>
    <n v="92.33"/>
    <x v="117"/>
    <n v="4.096063"/>
    <n v="62.2"/>
    <n v="74120"/>
    <x v="158"/>
  </r>
  <r>
    <x v="3"/>
    <s v="Central America"/>
    <s v="Panama"/>
    <x v="3"/>
    <n v="92.33"/>
    <x v="115"/>
    <n v="4.1652550000000002"/>
    <n v="64.930000000000007"/>
    <n v="74180"/>
    <x v="159"/>
  </r>
  <r>
    <x v="3"/>
    <s v="Central America"/>
    <s v="Panama"/>
    <x v="4"/>
    <n v="92.67"/>
    <x v="112"/>
    <n v="4.232532"/>
    <n v="66.98"/>
    <n v="74180"/>
    <x v="160"/>
  </r>
  <r>
    <x v="3"/>
    <s v="Central America"/>
    <s v="Panama"/>
    <x v="5"/>
    <n v="92.67"/>
    <x v="57"/>
    <n v="4.2943959999999999"/>
    <n v="53.98"/>
    <n v="74180"/>
    <x v="161"/>
  </r>
  <r>
    <x v="3"/>
    <s v="South America"/>
    <s v="Argentina"/>
    <x v="0"/>
    <n v="97.33"/>
    <x v="99"/>
    <n v="43.131965999999998"/>
    <n v="594.75"/>
    <n v="2736690"/>
    <x v="6"/>
  </r>
  <r>
    <x v="3"/>
    <s v="South America"/>
    <s v="Argentina"/>
    <x v="1"/>
    <n v="97.33"/>
    <x v="99"/>
    <n v="43.590367999999998"/>
    <n v="557.53"/>
    <n v="2736690"/>
    <x v="6"/>
  </r>
  <r>
    <x v="3"/>
    <s v="South America"/>
    <s v="Argentina"/>
    <x v="2"/>
    <n v="100"/>
    <x v="84"/>
    <n v="44.044811000000003"/>
    <n v="643.63"/>
    <n v="2736690"/>
    <x v="162"/>
  </r>
  <r>
    <x v="3"/>
    <s v="South America"/>
    <s v="Argentina"/>
    <x v="3"/>
    <n v="100"/>
    <x v="0"/>
    <n v="44.494501999999997"/>
    <n v="524.82000000000005"/>
    <n v="2736690"/>
    <x v="163"/>
  </r>
  <r>
    <x v="3"/>
    <s v="South America"/>
    <s v="Argentina"/>
    <x v="4"/>
    <n v="100"/>
    <x v="0"/>
    <n v="44.938712000000002"/>
    <n v="447.75"/>
    <n v="2736690"/>
    <x v="164"/>
  </r>
  <r>
    <x v="3"/>
    <s v="South America"/>
    <s v="Argentina"/>
    <x v="5"/>
    <n v="100"/>
    <x v="95"/>
    <n v="45.376762999999997"/>
    <n v="385.54"/>
    <n v="2736690"/>
    <x v="165"/>
  </r>
  <r>
    <x v="3"/>
    <s v="South America"/>
    <s v="Bolivia (Plurinational State of)"/>
    <x v="0"/>
    <n v="87.33"/>
    <x v="118"/>
    <s v="NULL"/>
    <s v="NULL"/>
    <s v="NULL"/>
    <x v="6"/>
  </r>
  <r>
    <x v="3"/>
    <s v="South America"/>
    <s v="Bolivia (Plurinational State of)"/>
    <x v="1"/>
    <n v="88"/>
    <x v="119"/>
    <s v="NULL"/>
    <s v="NULL"/>
    <s v="NULL"/>
    <x v="6"/>
  </r>
  <r>
    <x v="3"/>
    <s v="South America"/>
    <s v="Bolivia (Plurinational State of)"/>
    <x v="2"/>
    <n v="89"/>
    <x v="120"/>
    <s v="NULL"/>
    <s v="NULL"/>
    <s v="NULL"/>
    <x v="6"/>
  </r>
  <r>
    <x v="3"/>
    <s v="South America"/>
    <s v="Bolivia (Plurinational State of)"/>
    <x v="3"/>
    <n v="89.67"/>
    <x v="88"/>
    <s v="NULL"/>
    <s v="NULL"/>
    <s v="NULL"/>
    <x v="6"/>
  </r>
  <r>
    <x v="3"/>
    <s v="South America"/>
    <s v="Bolivia (Plurinational State of)"/>
    <x v="4"/>
    <n v="90.33"/>
    <x v="62"/>
    <s v="NULL"/>
    <s v="NULL"/>
    <s v="NULL"/>
    <x v="6"/>
  </r>
  <r>
    <x v="3"/>
    <s v="South America"/>
    <s v="Bolivia (Plurinational State of)"/>
    <x v="5"/>
    <n v="90.67"/>
    <x v="44"/>
    <s v="NULL"/>
    <s v="NULL"/>
    <s v="NULL"/>
    <x v="6"/>
  </r>
  <r>
    <x v="3"/>
    <s v="South America"/>
    <s v="Brazil"/>
    <x v="0"/>
    <n v="95.33"/>
    <x v="117"/>
    <n v="205.18820500000001"/>
    <n v="1802.21"/>
    <n v="8358140"/>
    <x v="166"/>
  </r>
  <r>
    <x v="3"/>
    <s v="South America"/>
    <s v="Brazil"/>
    <x v="1"/>
    <n v="95.33"/>
    <x v="121"/>
    <n v="206.859578"/>
    <n v="1795.7"/>
    <n v="8358140"/>
    <x v="167"/>
  </r>
  <r>
    <x v="3"/>
    <s v="South America"/>
    <s v="Brazil"/>
    <x v="2"/>
    <n v="96.33"/>
    <x v="112"/>
    <n v="208.50496000000001"/>
    <n v="2063.5100000000002"/>
    <n v="8358140"/>
    <x v="168"/>
  </r>
  <r>
    <x v="3"/>
    <s v="South America"/>
    <s v="Brazil"/>
    <x v="3"/>
    <n v="97"/>
    <x v="56"/>
    <n v="210.16659200000001"/>
    <n v="1916.95"/>
    <n v="8358140"/>
    <x v="169"/>
  </r>
  <r>
    <x v="3"/>
    <s v="South America"/>
    <s v="Brazil"/>
    <x v="4"/>
    <n v="97.33"/>
    <x v="58"/>
    <n v="211.78287800000001"/>
    <n v="1873.27"/>
    <n v="8358140"/>
    <x v="170"/>
  </r>
  <r>
    <x v="3"/>
    <s v="South America"/>
    <s v="Brazil"/>
    <x v="5"/>
    <n v="98.33"/>
    <x v="100"/>
    <n v="213.196304"/>
    <n v="1448.56"/>
    <n v="8358140"/>
    <x v="171"/>
  </r>
  <r>
    <x v="3"/>
    <s v="South America"/>
    <s v="Chile"/>
    <x v="0"/>
    <n v="99"/>
    <x v="8"/>
    <n v="17.870124000000001"/>
    <n v="242.5"/>
    <n v="743532"/>
    <x v="172"/>
  </r>
  <r>
    <x v="3"/>
    <s v="South America"/>
    <s v="Chile"/>
    <x v="1"/>
    <n v="99.67"/>
    <x v="78"/>
    <n v="18.083879"/>
    <n v="249.3"/>
    <n v="743532"/>
    <x v="143"/>
  </r>
  <r>
    <x v="3"/>
    <s v="South America"/>
    <s v="Chile"/>
    <x v="2"/>
    <n v="100"/>
    <x v="10"/>
    <n v="18.368576999999998"/>
    <n v="276.36"/>
    <n v="743532"/>
    <x v="173"/>
  </r>
  <r>
    <x v="3"/>
    <s v="South America"/>
    <s v="Chile"/>
    <x v="3"/>
    <n v="100"/>
    <x v="10"/>
    <n v="18.701450000000001"/>
    <n v="295.39999999999998"/>
    <n v="743532"/>
    <x v="174"/>
  </r>
  <r>
    <x v="3"/>
    <s v="South America"/>
    <s v="Chile"/>
    <x v="4"/>
    <n v="100"/>
    <x v="10"/>
    <n v="19.039484999999999"/>
    <n v="278.58"/>
    <n v="743532"/>
    <x v="175"/>
  </r>
  <r>
    <x v="3"/>
    <s v="South America"/>
    <s v="Chile"/>
    <x v="5"/>
    <n v="100"/>
    <x v="10"/>
    <n v="19.300315000000001"/>
    <n v="252.73"/>
    <n v="743532"/>
    <x v="176"/>
  </r>
  <r>
    <x v="3"/>
    <s v="South America"/>
    <s v="Colombia"/>
    <x v="0"/>
    <n v="93"/>
    <x v="108"/>
    <n v="47.119728000000002"/>
    <n v="293.48"/>
    <n v="1109500"/>
    <x v="177"/>
  </r>
  <r>
    <x v="3"/>
    <s v="South America"/>
    <s v="Colombia"/>
    <x v="1"/>
    <n v="93.67"/>
    <x v="92"/>
    <n v="47.625954999999998"/>
    <n v="282.83"/>
    <n v="1109500"/>
    <x v="178"/>
  </r>
  <r>
    <x v="3"/>
    <s v="South America"/>
    <s v="Colombia"/>
    <x v="2"/>
    <n v="94"/>
    <x v="37"/>
    <n v="48.351671000000003"/>
    <n v="311.88"/>
    <n v="1109500"/>
    <x v="179"/>
  </r>
  <r>
    <x v="3"/>
    <s v="South America"/>
    <s v="Colombia"/>
    <x v="3"/>
    <n v="94"/>
    <x v="98"/>
    <n v="49.276961"/>
    <n v="334.2"/>
    <n v="1109500"/>
    <x v="180"/>
  </r>
  <r>
    <x v="3"/>
    <s v="South America"/>
    <s v="Colombia"/>
    <x v="4"/>
    <n v="94.33"/>
    <x v="55"/>
    <n v="50.187406000000003"/>
    <n v="323.11"/>
    <n v="1109500"/>
    <x v="181"/>
  </r>
  <r>
    <x v="3"/>
    <s v="South America"/>
    <s v="Colombia"/>
    <x v="5"/>
    <n v="94.67"/>
    <x v="122"/>
    <n v="50.930661999999998"/>
    <n v="270.3"/>
    <n v="1109500"/>
    <x v="182"/>
  </r>
  <r>
    <x v="3"/>
    <s v="South America"/>
    <s v="Ecuador"/>
    <x v="0"/>
    <n v="91.67"/>
    <x v="123"/>
    <n v="16.195902"/>
    <n v="99.29"/>
    <n v="248360"/>
    <x v="183"/>
  </r>
  <r>
    <x v="3"/>
    <s v="South America"/>
    <s v="Ecuador"/>
    <x v="1"/>
    <n v="92.33"/>
    <x v="35"/>
    <n v="16.439585000000001"/>
    <n v="99.94"/>
    <n v="248360"/>
    <x v="184"/>
  </r>
  <r>
    <x v="3"/>
    <s v="South America"/>
    <s v="Ecuador"/>
    <x v="2"/>
    <n v="92.67"/>
    <x v="38"/>
    <n v="16.696943999999998"/>
    <n v="104.3"/>
    <n v="248360"/>
    <x v="185"/>
  </r>
  <r>
    <x v="3"/>
    <s v="South America"/>
    <s v="Ecuador"/>
    <x v="3"/>
    <n v="93.33"/>
    <x v="98"/>
    <n v="17.015671999999999"/>
    <n v="107.56"/>
    <n v="248360"/>
    <x v="186"/>
  </r>
  <r>
    <x v="3"/>
    <s v="South America"/>
    <s v="Ecuador"/>
    <x v="4"/>
    <n v="93.67"/>
    <x v="94"/>
    <n v="17.34374"/>
    <n v="108.11"/>
    <n v="248360"/>
    <x v="187"/>
  </r>
  <r>
    <x v="3"/>
    <s v="South America"/>
    <s v="Ecuador"/>
    <x v="5"/>
    <n v="94"/>
    <x v="122"/>
    <n v="17.588595000000002"/>
    <n v="99.29"/>
    <n v="248360"/>
    <x v="188"/>
  </r>
  <r>
    <x v="3"/>
    <s v="South America"/>
    <s v="Falkland Islands (Malvinas)"/>
    <x v="0"/>
    <n v="91"/>
    <x v="10"/>
    <s v="NULL"/>
    <s v="NULL"/>
    <s v="NULL"/>
    <x v="6"/>
  </r>
  <r>
    <x v="3"/>
    <s v="South America"/>
    <s v="Falkland Islands (Malvinas)"/>
    <x v="1"/>
    <n v="91"/>
    <x v="10"/>
    <s v="NULL"/>
    <s v="NULL"/>
    <s v="NULL"/>
    <x v="6"/>
  </r>
  <r>
    <x v="3"/>
    <s v="South America"/>
    <s v="Falkland Islands (Malvinas)"/>
    <x v="2"/>
    <n v="91"/>
    <x v="10"/>
    <s v="NULL"/>
    <s v="NULL"/>
    <s v="NULL"/>
    <x v="6"/>
  </r>
  <r>
    <x v="3"/>
    <s v="South America"/>
    <s v="Falkland Islands (Malvinas)"/>
    <x v="3"/>
    <n v="91"/>
    <x v="10"/>
    <s v="NULL"/>
    <s v="NULL"/>
    <s v="NULL"/>
    <x v="6"/>
  </r>
  <r>
    <x v="3"/>
    <s v="South America"/>
    <s v="Falkland Islands (Malvinas)"/>
    <x v="4"/>
    <n v="91"/>
    <x v="10"/>
    <s v="NULL"/>
    <s v="NULL"/>
    <s v="NULL"/>
    <x v="6"/>
  </r>
  <r>
    <x v="3"/>
    <s v="South America"/>
    <s v="Falkland Islands (Malvinas)"/>
    <x v="5"/>
    <n v="91"/>
    <x v="10"/>
    <s v="NULL"/>
    <s v="NULL"/>
    <s v="NULL"/>
    <x v="6"/>
  </r>
  <r>
    <x v="3"/>
    <s v="South America"/>
    <s v="French Guiana"/>
    <x v="0"/>
    <n v="94"/>
    <x v="124"/>
    <s v="NULL"/>
    <s v="NULL"/>
    <s v="NULL"/>
    <x v="6"/>
  </r>
  <r>
    <x v="3"/>
    <s v="South America"/>
    <s v="French Guiana"/>
    <x v="1"/>
    <n v="94"/>
    <x v="124"/>
    <s v="NULL"/>
    <s v="NULL"/>
    <s v="NULL"/>
    <x v="6"/>
  </r>
  <r>
    <x v="3"/>
    <s v="South America"/>
    <s v="French Guiana"/>
    <x v="2"/>
    <n v="94"/>
    <x v="124"/>
    <s v="NULL"/>
    <s v="NULL"/>
    <s v="NULL"/>
    <x v="6"/>
  </r>
  <r>
    <x v="3"/>
    <s v="South America"/>
    <s v="French Guiana"/>
    <x v="3"/>
    <n v="94"/>
    <x v="124"/>
    <s v="NULL"/>
    <s v="NULL"/>
    <s v="NULL"/>
    <x v="6"/>
  </r>
  <r>
    <x v="3"/>
    <s v="South America"/>
    <s v="French Guiana"/>
    <x v="4"/>
    <n v="94"/>
    <x v="124"/>
    <s v="NULL"/>
    <s v="NULL"/>
    <s v="NULL"/>
    <x v="6"/>
  </r>
  <r>
    <x v="3"/>
    <s v="South America"/>
    <s v="French Guiana"/>
    <x v="5"/>
    <n v="94"/>
    <x v="124"/>
    <s v="NULL"/>
    <s v="NULL"/>
    <s v="NULL"/>
    <x v="6"/>
  </r>
  <r>
    <x v="3"/>
    <s v="South America"/>
    <s v="Guyana"/>
    <x v="0"/>
    <n v="96"/>
    <x v="108"/>
    <n v="0.75503100000000001"/>
    <n v="4.28"/>
    <n v="196850"/>
    <x v="6"/>
  </r>
  <r>
    <x v="3"/>
    <s v="South America"/>
    <s v="Guyana"/>
    <x v="1"/>
    <n v="96.67"/>
    <x v="92"/>
    <n v="0.75908699999999996"/>
    <n v="4.4800000000000004"/>
    <n v="196850"/>
    <x v="6"/>
  </r>
  <r>
    <x v="3"/>
    <s v="South America"/>
    <s v="Guyana"/>
    <x v="2"/>
    <n v="96.67"/>
    <x v="92"/>
    <n v="0.76325200000000004"/>
    <n v="4.75"/>
    <n v="196850"/>
    <x v="6"/>
  </r>
  <r>
    <x v="3"/>
    <s v="South America"/>
    <s v="Guyana"/>
    <x v="3"/>
    <n v="96.67"/>
    <x v="92"/>
    <n v="0.78551400000000005"/>
    <n v="4.79"/>
    <n v="196850"/>
    <x v="189"/>
  </r>
  <r>
    <x v="3"/>
    <s v="South America"/>
    <s v="Guyana"/>
    <x v="4"/>
    <n v="96.67"/>
    <x v="92"/>
    <n v="0.79875300000000005"/>
    <n v="5.17"/>
    <n v="196850"/>
    <x v="190"/>
  </r>
  <r>
    <x v="3"/>
    <s v="South America"/>
    <s v="Guyana"/>
    <x v="5"/>
    <n v="96.67"/>
    <x v="92"/>
    <n v="0.79720199999999997"/>
    <n v="5.47"/>
    <n v="196850"/>
    <x v="6"/>
  </r>
  <r>
    <x v="3"/>
    <s v="South America"/>
    <s v="Paraguay"/>
    <x v="0"/>
    <n v="96.33"/>
    <x v="109"/>
    <n v="6.1779500000000001"/>
    <n v="36.21"/>
    <n v="397300"/>
    <x v="26"/>
  </r>
  <r>
    <x v="3"/>
    <s v="South America"/>
    <s v="Paraguay"/>
    <x v="1"/>
    <n v="97.67"/>
    <x v="36"/>
    <n v="6.2666149999999998"/>
    <n v="36.090000000000003"/>
    <n v="397300"/>
    <x v="191"/>
  </r>
  <r>
    <x v="3"/>
    <s v="South America"/>
    <s v="Paraguay"/>
    <x v="2"/>
    <n v="99.33"/>
    <x v="93"/>
    <n v="6.3554040000000001"/>
    <n v="39"/>
    <n v="397300"/>
    <x v="192"/>
  </r>
  <r>
    <x v="3"/>
    <s v="South America"/>
    <s v="Paraguay"/>
    <x v="3"/>
    <n v="99.67"/>
    <x v="94"/>
    <n v="6.4433280000000002"/>
    <n v="40.229999999999997"/>
    <n v="397300"/>
    <x v="193"/>
  </r>
  <r>
    <x v="3"/>
    <s v="South America"/>
    <s v="Paraguay"/>
    <x v="4"/>
    <n v="99.67"/>
    <x v="122"/>
    <n v="6.5300260000000003"/>
    <n v="37.93"/>
    <n v="397300"/>
    <x v="51"/>
  </r>
  <r>
    <x v="3"/>
    <s v="South America"/>
    <s v="Paraguay"/>
    <x v="5"/>
    <n v="99.67"/>
    <x v="124"/>
    <n v="6.6186949999999998"/>
    <n v="35.43"/>
    <n v="397300"/>
    <x v="194"/>
  </r>
  <r>
    <x v="3"/>
    <s v="South America"/>
    <s v="Peru"/>
    <x v="0"/>
    <n v="86"/>
    <x v="48"/>
    <n v="30.711863000000001"/>
    <n v="189.81"/>
    <n v="1280000"/>
    <x v="151"/>
  </r>
  <r>
    <x v="3"/>
    <s v="South America"/>
    <s v="Peru"/>
    <x v="1"/>
    <n v="87.33"/>
    <x v="22"/>
    <n v="31.132778999999999"/>
    <n v="191.9"/>
    <n v="1280000"/>
    <x v="195"/>
  </r>
  <r>
    <x v="3"/>
    <s v="South America"/>
    <s v="Peru"/>
    <x v="2"/>
    <n v="87.67"/>
    <x v="125"/>
    <n v="31.605485999999999"/>
    <n v="211.01"/>
    <n v="1280000"/>
    <x v="196"/>
  </r>
  <r>
    <x v="3"/>
    <s v="South America"/>
    <s v="Peru"/>
    <x v="3"/>
    <n v="88.67"/>
    <x v="33"/>
    <n v="32.203944"/>
    <n v="222.6"/>
    <n v="1280000"/>
    <x v="197"/>
  </r>
  <r>
    <x v="3"/>
    <s v="South America"/>
    <s v="Peru"/>
    <x v="4"/>
    <n v="89.33"/>
    <x v="24"/>
    <n v="32.824860999999999"/>
    <n v="228.32"/>
    <n v="1280000"/>
    <x v="198"/>
  </r>
  <r>
    <x v="3"/>
    <s v="South America"/>
    <s v="Peru"/>
    <x v="5"/>
    <n v="90.33"/>
    <x v="25"/>
    <n v="33.304755999999998"/>
    <n v="201.71"/>
    <n v="1280000"/>
    <x v="199"/>
  </r>
  <r>
    <x v="3"/>
    <s v="South America"/>
    <s v="Suriname"/>
    <x v="0"/>
    <n v="95"/>
    <x v="91"/>
    <n v="0.57547499999999996"/>
    <n v="5.13"/>
    <n v="156000"/>
    <x v="200"/>
  </r>
  <r>
    <x v="3"/>
    <s v="South America"/>
    <s v="Suriname"/>
    <x v="1"/>
    <n v="95.33"/>
    <x v="123"/>
    <n v="0.581453"/>
    <n v="3.32"/>
    <n v="156000"/>
    <x v="201"/>
  </r>
  <r>
    <x v="3"/>
    <s v="South America"/>
    <s v="Suriname"/>
    <x v="2"/>
    <n v="96.33"/>
    <x v="108"/>
    <n v="0.58755900000000005"/>
    <n v="3.59"/>
    <n v="156000"/>
    <x v="6"/>
  </r>
  <r>
    <x v="3"/>
    <s v="South America"/>
    <s v="Suriname"/>
    <x v="3"/>
    <n v="96.67"/>
    <x v="92"/>
    <n v="0.59371499999999999"/>
    <n v="4"/>
    <n v="156000"/>
    <x v="6"/>
  </r>
  <r>
    <x v="3"/>
    <s v="South America"/>
    <s v="Suriname"/>
    <x v="4"/>
    <n v="97.33"/>
    <x v="36"/>
    <n v="0.60030099999999997"/>
    <n v="4.0199999999999996"/>
    <n v="156000"/>
    <x v="6"/>
  </r>
  <r>
    <x v="3"/>
    <s v="South America"/>
    <s v="Suriname"/>
    <x v="5"/>
    <n v="98"/>
    <x v="97"/>
    <n v="0.60706499999999997"/>
    <n v="2.91"/>
    <n v="156000"/>
    <x v="6"/>
  </r>
  <r>
    <x v="3"/>
    <s v="South America"/>
    <s v="Uruguay"/>
    <x v="0"/>
    <n v="96.67"/>
    <x v="7"/>
    <n v="3.4028179999999999"/>
    <n v="53.27"/>
    <n v="175020"/>
    <x v="202"/>
  </r>
  <r>
    <x v="3"/>
    <s v="South America"/>
    <s v="Uruguay"/>
    <x v="1"/>
    <n v="97.33"/>
    <x v="7"/>
    <n v="3.4137659999999999"/>
    <n v="57.24"/>
    <n v="175020"/>
    <x v="203"/>
  </r>
  <r>
    <x v="3"/>
    <s v="South America"/>
    <s v="Uruguay"/>
    <x v="2"/>
    <n v="98"/>
    <x v="1"/>
    <n v="3.4222000000000001"/>
    <n v="64.23"/>
    <n v="175020"/>
    <x v="204"/>
  </r>
  <r>
    <x v="3"/>
    <s v="South America"/>
    <s v="Uruguay"/>
    <x v="3"/>
    <n v="98"/>
    <x v="84"/>
    <n v="3.4270420000000001"/>
    <n v="64.52"/>
    <n v="175020"/>
    <x v="205"/>
  </r>
  <r>
    <x v="3"/>
    <s v="South America"/>
    <s v="Uruguay"/>
    <x v="4"/>
    <n v="98"/>
    <x v="0"/>
    <n v="3.4284089999999998"/>
    <n v="61.23"/>
    <n v="175020"/>
    <x v="206"/>
  </r>
  <r>
    <x v="3"/>
    <s v="South America"/>
    <s v="Uruguay"/>
    <x v="5"/>
    <n v="98"/>
    <x v="40"/>
    <n v="3.4290859999999999"/>
    <n v="53.56"/>
    <n v="175020"/>
    <x v="207"/>
  </r>
  <r>
    <x v="3"/>
    <s v="South America"/>
    <s v="Venezuela (Bolivarian Republic of)"/>
    <x v="0"/>
    <n v="95"/>
    <x v="4"/>
    <s v="NULL"/>
    <s v="NULL"/>
    <s v="NULL"/>
    <x v="6"/>
  </r>
  <r>
    <x v="3"/>
    <s v="South America"/>
    <s v="Venezuela (Bolivarian Republic of)"/>
    <x v="1"/>
    <n v="94"/>
    <x v="4"/>
    <s v="NULL"/>
    <s v="NULL"/>
    <s v="NULL"/>
    <x v="6"/>
  </r>
  <r>
    <x v="3"/>
    <s v="South America"/>
    <s v="Venezuela (Bolivarian Republic of)"/>
    <x v="2"/>
    <n v="94"/>
    <x v="4"/>
    <s v="NULL"/>
    <s v="NULL"/>
    <s v="NULL"/>
    <x v="6"/>
  </r>
  <r>
    <x v="3"/>
    <s v="South America"/>
    <s v="Venezuela (Bolivarian Republic of)"/>
    <x v="3"/>
    <n v="94"/>
    <x v="4"/>
    <s v="NULL"/>
    <s v="NULL"/>
    <s v="NULL"/>
    <x v="6"/>
  </r>
  <r>
    <x v="3"/>
    <s v="South America"/>
    <s v="Venezuela (Bolivarian Republic of)"/>
    <x v="4"/>
    <n v="94"/>
    <x v="66"/>
    <s v="NULL"/>
    <s v="NULL"/>
    <s v="NULL"/>
    <x v="6"/>
  </r>
  <r>
    <x v="3"/>
    <s v="South America"/>
    <s v="Venezuela (Bolivarian Republic of)"/>
    <x v="5"/>
    <n v="94"/>
    <x v="66"/>
    <s v="NULL"/>
    <s v="NULL"/>
    <s v="NULL"/>
    <x v="6"/>
  </r>
  <r>
    <x v="4"/>
    <s v="Northern Africa"/>
    <s v="Algeria"/>
    <x v="0"/>
    <n v="92"/>
    <x v="126"/>
    <n v="39.543154000000001"/>
    <n v="165.98"/>
    <n v="2381741"/>
    <x v="208"/>
  </r>
  <r>
    <x v="4"/>
    <s v="Northern Africa"/>
    <s v="Algeria"/>
    <x v="1"/>
    <n v="93"/>
    <x v="123"/>
    <n v="40.339328999999999"/>
    <n v="160.03"/>
    <n v="2381741"/>
    <x v="209"/>
  </r>
  <r>
    <x v="4"/>
    <s v="Northern Africa"/>
    <s v="Algeria"/>
    <x v="2"/>
    <n v="93"/>
    <x v="91"/>
    <n v="41.136546000000003"/>
    <n v="170.1"/>
    <n v="2381741"/>
    <x v="115"/>
  </r>
  <r>
    <x v="4"/>
    <s v="Northern Africa"/>
    <s v="Algeria"/>
    <x v="3"/>
    <n v="93"/>
    <x v="91"/>
    <n v="41.927007000000003"/>
    <n v="174.91"/>
    <n v="2381741"/>
    <x v="6"/>
  </r>
  <r>
    <x v="4"/>
    <s v="Northern Africa"/>
    <s v="Algeria"/>
    <x v="4"/>
    <n v="93.33"/>
    <x v="91"/>
    <n v="42.705368"/>
    <n v="171.77"/>
    <n v="2381741"/>
    <x v="6"/>
  </r>
  <r>
    <x v="4"/>
    <s v="Northern Africa"/>
    <s v="Algeria"/>
    <x v="5"/>
    <n v="93.33"/>
    <x v="101"/>
    <n v="43.451666000000003"/>
    <n v="145.01"/>
    <n v="2381741"/>
    <x v="6"/>
  </r>
  <r>
    <x v="4"/>
    <s v="Northern Africa"/>
    <s v="Egypt"/>
    <x v="0"/>
    <n v="99.33"/>
    <x v="7"/>
    <s v="NULL"/>
    <s v="NULL"/>
    <s v="NULL"/>
    <x v="6"/>
  </r>
  <r>
    <x v="4"/>
    <s v="Northern Africa"/>
    <s v="Egypt"/>
    <x v="1"/>
    <n v="99.33"/>
    <x v="7"/>
    <s v="NULL"/>
    <s v="NULL"/>
    <s v="NULL"/>
    <x v="6"/>
  </r>
  <r>
    <x v="4"/>
    <s v="Northern Africa"/>
    <s v="Egypt"/>
    <x v="2"/>
    <n v="99.33"/>
    <x v="7"/>
    <s v="NULL"/>
    <s v="NULL"/>
    <s v="NULL"/>
    <x v="6"/>
  </r>
  <r>
    <x v="4"/>
    <s v="Northern Africa"/>
    <s v="Egypt"/>
    <x v="3"/>
    <n v="99.33"/>
    <x v="84"/>
    <s v="NULL"/>
    <s v="NULL"/>
    <s v="NULL"/>
    <x v="6"/>
  </r>
  <r>
    <x v="4"/>
    <s v="Northern Africa"/>
    <s v="Egypt"/>
    <x v="4"/>
    <n v="99.33"/>
    <x v="84"/>
    <s v="NULL"/>
    <s v="NULL"/>
    <s v="NULL"/>
    <x v="6"/>
  </r>
  <r>
    <x v="4"/>
    <s v="Northern Africa"/>
    <s v="Egypt"/>
    <x v="5"/>
    <n v="99.33"/>
    <x v="3"/>
    <s v="NULL"/>
    <s v="NULL"/>
    <s v="NULL"/>
    <x v="6"/>
  </r>
  <r>
    <x v="4"/>
    <s v="Northern Africa"/>
    <s v="Libya"/>
    <x v="0"/>
    <n v="97"/>
    <x v="124"/>
    <n v="6.1922350000000002"/>
    <n v="48.72"/>
    <n v="1759540"/>
    <x v="6"/>
  </r>
  <r>
    <x v="4"/>
    <s v="Northern Africa"/>
    <s v="Libya"/>
    <x v="1"/>
    <n v="98"/>
    <x v="124"/>
    <n v="6.2821959999999999"/>
    <n v="49.91"/>
    <n v="1759540"/>
    <x v="6"/>
  </r>
  <r>
    <x v="4"/>
    <s v="Northern Africa"/>
    <s v="Libya"/>
    <x v="2"/>
    <n v="99"/>
    <x v="124"/>
    <n v="6.3782610000000002"/>
    <n v="67.16"/>
    <n v="1759540"/>
    <x v="6"/>
  </r>
  <r>
    <x v="4"/>
    <s v="Northern Africa"/>
    <s v="Libya"/>
    <x v="3"/>
    <n v="100"/>
    <x v="124"/>
    <n v="6.4777930000000001"/>
    <n v="76.680000000000007"/>
    <n v="1759540"/>
    <x v="6"/>
  </r>
  <r>
    <x v="4"/>
    <s v="Northern Africa"/>
    <s v="Libya"/>
    <x v="4"/>
    <n v="100"/>
    <x v="124"/>
    <n v="6.5690879999999998"/>
    <n v="69.25"/>
    <n v="1759540"/>
    <x v="6"/>
  </r>
  <r>
    <x v="4"/>
    <s v="Northern Africa"/>
    <s v="Libya"/>
    <x v="5"/>
    <n v="100"/>
    <x v="124"/>
    <n v="6.6539419999999998"/>
    <n v="50.36"/>
    <n v="1759540"/>
    <x v="6"/>
  </r>
  <r>
    <x v="4"/>
    <s v="Northern Africa"/>
    <s v="Morocco"/>
    <x v="0"/>
    <n v="81.33"/>
    <x v="73"/>
    <n v="34.680458000000002"/>
    <n v="110.41"/>
    <n v="446300"/>
    <x v="93"/>
  </r>
  <r>
    <x v="4"/>
    <s v="Northern Africa"/>
    <s v="Morocco"/>
    <x v="1"/>
    <n v="83"/>
    <x v="58"/>
    <n v="35.107264000000001"/>
    <n v="111.57"/>
    <n v="446300"/>
    <x v="210"/>
  </r>
  <r>
    <x v="4"/>
    <s v="Northern Africa"/>
    <s v="Morocco"/>
    <x v="2"/>
    <n v="84"/>
    <x v="77"/>
    <n v="35.528115"/>
    <n v="118.54"/>
    <n v="446300"/>
    <x v="6"/>
  </r>
  <r>
    <x v="4"/>
    <s v="Northern Africa"/>
    <s v="Morocco"/>
    <x v="3"/>
    <n v="85.67"/>
    <x v="90"/>
    <n v="35.927511000000003"/>
    <n v="127.34"/>
    <n v="446300"/>
    <x v="6"/>
  </r>
  <r>
    <x v="4"/>
    <s v="Northern Africa"/>
    <s v="Morocco"/>
    <x v="4"/>
    <n v="87.33"/>
    <x v="96"/>
    <n v="36.304408000000002"/>
    <n v="128.91999999999999"/>
    <n v="446300"/>
    <x v="6"/>
  </r>
  <r>
    <x v="4"/>
    <s v="Northern Africa"/>
    <s v="Morocco"/>
    <x v="5"/>
    <n v="88.33"/>
    <x v="91"/>
    <n v="36.688772"/>
    <n v="121.35"/>
    <n v="446300"/>
    <x v="6"/>
  </r>
  <r>
    <x v="4"/>
    <s v="Northern Africa"/>
    <s v="Sudan"/>
    <x v="0"/>
    <n v="61.33"/>
    <x v="127"/>
    <n v="38.171177999999998"/>
    <n v="84.99"/>
    <n v="1868000"/>
    <x v="6"/>
  </r>
  <r>
    <x v="4"/>
    <s v="Northern Africa"/>
    <s v="Sudan"/>
    <x v="1"/>
    <n v="62.33"/>
    <x v="128"/>
    <n v="39.377169000000002"/>
    <n v="102.94"/>
    <n v="1868000"/>
    <x v="6"/>
  </r>
  <r>
    <x v="4"/>
    <s v="Northern Africa"/>
    <s v="Sudan"/>
    <x v="2"/>
    <n v="62.33"/>
    <x v="129"/>
    <n v="40.679828000000001"/>
    <n v="129.72"/>
    <n v="1868000"/>
    <x v="6"/>
  </r>
  <r>
    <x v="4"/>
    <s v="Northern Africa"/>
    <s v="Sudan"/>
    <x v="3"/>
    <n v="62.33"/>
    <x v="129"/>
    <n v="41.999059000000003"/>
    <n v="32.33"/>
    <n v="1868000"/>
    <x v="6"/>
  </r>
  <r>
    <x v="4"/>
    <s v="Northern Africa"/>
    <s v="Sudan"/>
    <x v="4"/>
    <n v="62.33"/>
    <x v="129"/>
    <n v="43.232092999999999"/>
    <n v="32.340000000000003"/>
    <n v="1868000"/>
    <x v="6"/>
  </r>
  <r>
    <x v="4"/>
    <s v="Northern Africa"/>
    <s v="Sudan"/>
    <x v="5"/>
    <n v="62.33"/>
    <x v="129"/>
    <n v="44.440486"/>
    <n v="27.03"/>
    <n v="1868000"/>
    <x v="6"/>
  </r>
  <r>
    <x v="4"/>
    <s v="Northern Africa"/>
    <s v="Tunisia"/>
    <x v="0"/>
    <n v="93.33"/>
    <x v="55"/>
    <n v="11.557779"/>
    <n v="45.78"/>
    <n v="155360"/>
    <x v="211"/>
  </r>
  <r>
    <x v="4"/>
    <s v="Northern Africa"/>
    <s v="Tunisia"/>
    <x v="1"/>
    <n v="93.67"/>
    <x v="124"/>
    <n v="11.685667"/>
    <n v="44.36"/>
    <n v="155360"/>
    <x v="212"/>
  </r>
  <r>
    <x v="4"/>
    <s v="Northern Africa"/>
    <s v="Tunisia"/>
    <x v="2"/>
    <n v="94.67"/>
    <x v="130"/>
    <n v="11.811443000000001"/>
    <n v="42.16"/>
    <n v="155360"/>
    <x v="213"/>
  </r>
  <r>
    <x v="4"/>
    <s v="Northern Africa"/>
    <s v="Tunisia"/>
    <x v="3"/>
    <n v="95.67"/>
    <x v="131"/>
    <n v="11.933040999999999"/>
    <n v="42.69"/>
    <n v="155360"/>
    <x v="214"/>
  </r>
  <r>
    <x v="4"/>
    <s v="Northern Africa"/>
    <s v="Tunisia"/>
    <x v="4"/>
    <n v="96"/>
    <x v="6"/>
    <n v="12.049314000000001"/>
    <n v="41.91"/>
    <n v="155360"/>
    <x v="215"/>
  </r>
  <r>
    <x v="4"/>
    <s v="Northern Africa"/>
    <s v="Tunisia"/>
    <x v="5"/>
    <n v="97"/>
    <x v="2"/>
    <n v="12.161723"/>
    <n v="42.54"/>
    <n v="155360"/>
    <x v="6"/>
  </r>
  <r>
    <x v="4"/>
    <s v="Western Asia"/>
    <s v="Armenia"/>
    <x v="0"/>
    <n v="99.67"/>
    <x v="122"/>
    <n v="2.8785949999999998"/>
    <n v="10.55"/>
    <n v="28470"/>
    <x v="216"/>
  </r>
  <r>
    <x v="4"/>
    <s v="Western Asia"/>
    <s v="Armenia"/>
    <x v="1"/>
    <n v="99.67"/>
    <x v="50"/>
    <n v="2.8658350000000001"/>
    <n v="10.55"/>
    <n v="28470"/>
    <x v="217"/>
  </r>
  <r>
    <x v="4"/>
    <s v="Western Asia"/>
    <s v="Armenia"/>
    <x v="2"/>
    <n v="100"/>
    <x v="124"/>
    <n v="2.8519230000000002"/>
    <n v="11.53"/>
    <n v="28470"/>
    <x v="218"/>
  </r>
  <r>
    <x v="4"/>
    <s v="Western Asia"/>
    <s v="Armenia"/>
    <x v="3"/>
    <n v="100"/>
    <x v="132"/>
    <n v="2.836557"/>
    <n v="12.46"/>
    <n v="28470"/>
    <x v="219"/>
  </r>
  <r>
    <x v="4"/>
    <s v="Western Asia"/>
    <s v="Armenia"/>
    <x v="4"/>
    <n v="100"/>
    <x v="132"/>
    <n v="2.8206020000000001"/>
    <n v="13.62"/>
    <n v="28470"/>
    <x v="220"/>
  </r>
  <r>
    <x v="4"/>
    <s v="Western Asia"/>
    <s v="Armenia"/>
    <x v="5"/>
    <n v="100"/>
    <x v="132"/>
    <n v="2.8056079999999999"/>
    <n v="12.64"/>
    <n v="28470"/>
    <x v="221"/>
  </r>
  <r>
    <x v="4"/>
    <s v="Western Asia"/>
    <s v="Azerbaijan"/>
    <x v="0"/>
    <n v="91.67"/>
    <x v="66"/>
    <n v="9.6493409999999997"/>
    <n v="53.07"/>
    <n v="82663"/>
    <x v="1"/>
  </r>
  <r>
    <x v="4"/>
    <s v="Western Asia"/>
    <s v="Azerbaijan"/>
    <x v="1"/>
    <n v="92.33"/>
    <x v="66"/>
    <n v="9.7578119999999995"/>
    <n v="37.869999999999997"/>
    <n v="82670"/>
    <x v="222"/>
  </r>
  <r>
    <x v="4"/>
    <s v="Western Asia"/>
    <s v="Azerbaijan"/>
    <x v="2"/>
    <n v="93.67"/>
    <x v="66"/>
    <n v="9.8540329999999994"/>
    <n v="40.869999999999997"/>
    <n v="82662"/>
    <x v="1"/>
  </r>
  <r>
    <x v="4"/>
    <s v="Western Asia"/>
    <s v="Azerbaijan"/>
    <x v="3"/>
    <n v="94.33"/>
    <x v="66"/>
    <n v="9.9397710000000004"/>
    <n v="47.11"/>
    <n v="82654"/>
    <x v="223"/>
  </r>
  <r>
    <x v="4"/>
    <s v="Western Asia"/>
    <s v="Azerbaijan"/>
    <x v="4"/>
    <n v="95"/>
    <x v="66"/>
    <n v="10.024283"/>
    <n v="48.17"/>
    <n v="82654"/>
    <x v="3"/>
  </r>
  <r>
    <x v="4"/>
    <s v="Western Asia"/>
    <s v="Azerbaijan"/>
    <x v="5"/>
    <n v="95.67"/>
    <x v="66"/>
    <n v="10.093121"/>
    <n v="42.69"/>
    <n v="82646"/>
    <x v="224"/>
  </r>
  <r>
    <x v="4"/>
    <s v="Western Asia"/>
    <s v="Bahrain"/>
    <x v="0"/>
    <n v="100"/>
    <x v="10"/>
    <n v="1.362142"/>
    <n v="31.05"/>
    <n v="778"/>
    <x v="6"/>
  </r>
  <r>
    <x v="4"/>
    <s v="Western Asia"/>
    <s v="Bahrain"/>
    <x v="1"/>
    <n v="100"/>
    <x v="10"/>
    <n v="1.4096610000000001"/>
    <n v="32.229999999999997"/>
    <n v="779"/>
    <x v="6"/>
  </r>
  <r>
    <x v="4"/>
    <s v="Western Asia"/>
    <s v="Bahrain"/>
    <x v="2"/>
    <n v="100"/>
    <x v="10"/>
    <n v="1.456834"/>
    <n v="35.47"/>
    <n v="780"/>
    <x v="6"/>
  </r>
  <r>
    <x v="4"/>
    <s v="Western Asia"/>
    <s v="Bahrain"/>
    <x v="3"/>
    <n v="100"/>
    <x v="10"/>
    <n v="1.4873400000000001"/>
    <n v="37.799999999999997"/>
    <n v="780"/>
    <x v="6"/>
  </r>
  <r>
    <x v="4"/>
    <s v="Western Asia"/>
    <s v="Bahrain"/>
    <x v="4"/>
    <n v="100"/>
    <x v="10"/>
    <n v="1.4941880000000001"/>
    <n v="38.65"/>
    <n v="783"/>
    <x v="6"/>
  </r>
  <r>
    <x v="4"/>
    <s v="Western Asia"/>
    <s v="Bahrain"/>
    <x v="5"/>
    <n v="100"/>
    <x v="10"/>
    <n v="1.4774689999999999"/>
    <n v="34.72"/>
    <n v="785"/>
    <x v="6"/>
  </r>
  <r>
    <x v="4"/>
    <s v="Western Asia"/>
    <s v="Cyprus"/>
    <x v="0"/>
    <n v="100"/>
    <x v="9"/>
    <n v="1.1872799999999999"/>
    <n v="19.91"/>
    <n v="9240"/>
    <x v="225"/>
  </r>
  <r>
    <x v="4"/>
    <s v="Western Asia"/>
    <s v="Cyprus"/>
    <x v="1"/>
    <n v="100"/>
    <x v="9"/>
    <n v="1.197881"/>
    <n v="21.05"/>
    <n v="9240"/>
    <x v="226"/>
  </r>
  <r>
    <x v="4"/>
    <s v="Western Asia"/>
    <s v="Cyprus"/>
    <x v="2"/>
    <n v="100"/>
    <x v="9"/>
    <n v="1.208523"/>
    <n v="22.95"/>
    <n v="9240"/>
    <x v="227"/>
  </r>
  <r>
    <x v="4"/>
    <s v="Western Asia"/>
    <s v="Cyprus"/>
    <x v="3"/>
    <n v="100"/>
    <x v="9"/>
    <n v="1.218831"/>
    <n v="25.6"/>
    <n v="9240"/>
    <x v="228"/>
  </r>
  <r>
    <x v="4"/>
    <s v="Western Asia"/>
    <s v="Cyprus"/>
    <x v="4"/>
    <n v="100"/>
    <x v="9"/>
    <n v="1.228836"/>
    <n v="25.94"/>
    <n v="9240"/>
    <x v="229"/>
  </r>
  <r>
    <x v="4"/>
    <s v="Western Asia"/>
    <s v="Cyprus"/>
    <x v="5"/>
    <n v="100"/>
    <x v="9"/>
    <n v="1.2375370000000001"/>
    <n v="25.01"/>
    <n v="9240"/>
    <x v="230"/>
  </r>
  <r>
    <x v="4"/>
    <s v="Western Asia"/>
    <s v="Georgia"/>
    <x v="0"/>
    <n v="95.33"/>
    <x v="54"/>
    <n v="3.725276"/>
    <n v="14.95"/>
    <n v="69490"/>
    <x v="231"/>
  </r>
  <r>
    <x v="4"/>
    <s v="Western Asia"/>
    <s v="Georgia"/>
    <x v="1"/>
    <n v="96"/>
    <x v="126"/>
    <n v="3.7275049999999998"/>
    <n v="15.14"/>
    <n v="69490"/>
    <x v="232"/>
  </r>
  <r>
    <x v="4"/>
    <s v="Western Asia"/>
    <s v="Georgia"/>
    <x v="2"/>
    <n v="96.67"/>
    <x v="123"/>
    <n v="3.7280039999999999"/>
    <n v="16.239999999999998"/>
    <n v="69490"/>
    <x v="233"/>
  </r>
  <r>
    <x v="4"/>
    <s v="Western Asia"/>
    <s v="Georgia"/>
    <x v="3"/>
    <n v="96.67"/>
    <x v="126"/>
    <n v="3.7265489999999999"/>
    <n v="17.600000000000001"/>
    <n v="69490"/>
    <x v="234"/>
  </r>
  <r>
    <x v="4"/>
    <s v="Western Asia"/>
    <s v="Georgia"/>
    <x v="4"/>
    <n v="96.67"/>
    <x v="91"/>
    <n v="3.7201610000000001"/>
    <n v="17.47"/>
    <n v="69490"/>
    <x v="235"/>
  </r>
  <r>
    <x v="4"/>
    <s v="Western Asia"/>
    <s v="Georgia"/>
    <x v="5"/>
    <n v="96.67"/>
    <x v="101"/>
    <n v="3.7227160000000001"/>
    <n v="15.84"/>
    <n v="69490"/>
    <x v="236"/>
  </r>
  <r>
    <x v="4"/>
    <s v="Western Asia"/>
    <s v="Iraq"/>
    <x v="0"/>
    <n v="92.33"/>
    <x v="124"/>
    <n v="37.757812999999999"/>
    <n v="166.77"/>
    <n v="434128"/>
    <x v="6"/>
  </r>
  <r>
    <x v="4"/>
    <s v="Western Asia"/>
    <s v="Iraq"/>
    <x v="1"/>
    <n v="93.67"/>
    <x v="131"/>
    <n v="38.697943000000002"/>
    <n v="166.6"/>
    <n v="434128"/>
    <x v="237"/>
  </r>
  <r>
    <x v="4"/>
    <s v="Western Asia"/>
    <s v="Iraq"/>
    <x v="2"/>
    <n v="94.67"/>
    <x v="66"/>
    <n v="39.621161999999998"/>
    <n v="187.22"/>
    <n v="434128"/>
    <x v="238"/>
  </r>
  <r>
    <x v="4"/>
    <s v="Western Asia"/>
    <s v="Iraq"/>
    <x v="3"/>
    <n v="95.67"/>
    <x v="3"/>
    <n v="40.590699999999998"/>
    <n v="227.37"/>
    <n v="434128"/>
    <x v="6"/>
  </r>
  <r>
    <x v="4"/>
    <s v="Western Asia"/>
    <s v="Iraq"/>
    <x v="4"/>
    <n v="97"/>
    <x v="9"/>
    <n v="41.563519999999997"/>
    <n v="233.64"/>
    <n v="434128"/>
    <x v="6"/>
  </r>
  <r>
    <x v="4"/>
    <s v="Western Asia"/>
    <s v="Iraq"/>
    <x v="5"/>
    <n v="97.67"/>
    <x v="10"/>
    <n v="42.556984"/>
    <n v="184.37"/>
    <n v="434128"/>
    <x v="6"/>
  </r>
  <r>
    <x v="4"/>
    <s v="Western Asia"/>
    <s v="Israel"/>
    <x v="0"/>
    <n v="100"/>
    <x v="10"/>
    <n v="8.3801000000000005"/>
    <n v="303.41000000000003"/>
    <n v="21640"/>
    <x v="239"/>
  </r>
  <r>
    <x v="4"/>
    <s v="Western Asia"/>
    <s v="Israel"/>
    <x v="1"/>
    <n v="100"/>
    <x v="10"/>
    <n v="8.5459999999999994"/>
    <n v="322.10000000000002"/>
    <n v="21640"/>
    <x v="240"/>
  </r>
  <r>
    <x v="4"/>
    <s v="Western Asia"/>
    <s v="Israel"/>
    <x v="2"/>
    <n v="100"/>
    <x v="10"/>
    <n v="8.7133000000000003"/>
    <n v="358.25"/>
    <n v="21640"/>
    <x v="241"/>
  </r>
  <r>
    <x v="4"/>
    <s v="Western Asia"/>
    <s v="Israel"/>
    <x v="3"/>
    <n v="100"/>
    <x v="78"/>
    <n v="8.8827999999999996"/>
    <n v="376.69"/>
    <n v="21640"/>
    <x v="242"/>
  </r>
  <r>
    <x v="4"/>
    <s v="Western Asia"/>
    <s v="Israel"/>
    <x v="4"/>
    <n v="100"/>
    <x v="78"/>
    <n v="9.0540000000000003"/>
    <n v="402.47"/>
    <n v="21640"/>
    <x v="243"/>
  </r>
  <r>
    <x v="4"/>
    <s v="Western Asia"/>
    <s v="Israel"/>
    <x v="5"/>
    <n v="100"/>
    <x v="78"/>
    <n v="9.2150999999999996"/>
    <n v="413.27"/>
    <n v="21640"/>
    <x v="135"/>
  </r>
  <r>
    <x v="4"/>
    <s v="Western Asia"/>
    <s v="Jordan"/>
    <x v="0"/>
    <n v="98.33"/>
    <x v="84"/>
    <n v="9.4942460000000004"/>
    <n v="38.590000000000003"/>
    <n v="88780"/>
    <x v="244"/>
  </r>
  <r>
    <x v="4"/>
    <s v="Western Asia"/>
    <s v="Jordan"/>
    <x v="1"/>
    <n v="98.33"/>
    <x v="84"/>
    <n v="9.9646559999999997"/>
    <n v="39.89"/>
    <n v="88780"/>
    <x v="245"/>
  </r>
  <r>
    <x v="4"/>
    <s v="Western Asia"/>
    <s v="Jordan"/>
    <x v="2"/>
    <n v="98.33"/>
    <x v="1"/>
    <n v="10.215381000000001"/>
    <n v="41.61"/>
    <n v="88780"/>
    <x v="246"/>
  </r>
  <r>
    <x v="4"/>
    <s v="Western Asia"/>
    <s v="Jordan"/>
    <x v="3"/>
    <n v="98.33"/>
    <x v="1"/>
    <n v="10.459865000000001"/>
    <n v="43.37"/>
    <n v="88780"/>
    <x v="216"/>
  </r>
  <r>
    <x v="4"/>
    <s v="Western Asia"/>
    <s v="Jordan"/>
    <x v="4"/>
    <n v="98.33"/>
    <x v="7"/>
    <n v="10.698683000000001"/>
    <n v="44.99"/>
    <n v="88794"/>
    <x v="247"/>
  </r>
  <r>
    <x v="4"/>
    <s v="Western Asia"/>
    <s v="Jordan"/>
    <x v="5"/>
    <n v="98.33"/>
    <x v="7"/>
    <n v="10.928720999999999"/>
    <n v="44.18"/>
    <n v="88794"/>
    <x v="248"/>
  </r>
  <r>
    <x v="4"/>
    <s v="Western Asia"/>
    <s v="Kuwait"/>
    <x v="0"/>
    <n v="100"/>
    <x v="10"/>
    <n v="3.9087429999999999"/>
    <n v="114.57"/>
    <n v="17820"/>
    <x v="249"/>
  </r>
  <r>
    <x v="4"/>
    <s v="Western Asia"/>
    <s v="Kuwait"/>
    <x v="1"/>
    <n v="100"/>
    <x v="10"/>
    <n v="4.0480850000000004"/>
    <n v="109.42"/>
    <n v="17820"/>
    <x v="250"/>
  </r>
  <r>
    <x v="4"/>
    <s v="Western Asia"/>
    <s v="Kuwait"/>
    <x v="2"/>
    <n v="100"/>
    <x v="10"/>
    <n v="4.1249039999999999"/>
    <n v="120.71"/>
    <n v="17820"/>
    <x v="6"/>
  </r>
  <r>
    <x v="4"/>
    <s v="Western Asia"/>
    <s v="Kuwait"/>
    <x v="3"/>
    <n v="100"/>
    <x v="10"/>
    <n v="4.3171850000000003"/>
    <n v="138.18"/>
    <n v="17820"/>
    <x v="6"/>
  </r>
  <r>
    <x v="4"/>
    <s v="Western Asia"/>
    <s v="Kuwait"/>
    <x v="4"/>
    <n v="100"/>
    <x v="10"/>
    <n v="4.4410999999999996"/>
    <n v="136.19999999999999"/>
    <n v="17820"/>
    <x v="6"/>
  </r>
  <r>
    <x v="4"/>
    <s v="Western Asia"/>
    <s v="Kuwait"/>
    <x v="5"/>
    <n v="100"/>
    <x v="10"/>
    <n v="4.3604440000000002"/>
    <n v="105.96"/>
    <n v="17820"/>
    <x v="6"/>
  </r>
  <r>
    <x v="4"/>
    <s v="Western Asia"/>
    <s v="Lebanon"/>
    <x v="0"/>
    <n v="91"/>
    <x v="111"/>
    <n v="6.3989399999999996"/>
    <n v="49.93"/>
    <n v="10230"/>
    <x v="6"/>
  </r>
  <r>
    <x v="4"/>
    <s v="Western Asia"/>
    <s v="Lebanon"/>
    <x v="1"/>
    <n v="92"/>
    <x v="4"/>
    <n v="6.2586190000000004"/>
    <n v="51.15"/>
    <n v="10230"/>
    <x v="6"/>
  </r>
  <r>
    <x v="4"/>
    <s v="Western Asia"/>
    <s v="Lebanon"/>
    <x v="2"/>
    <n v="92"/>
    <x v="84"/>
    <n v="6.1092519999999997"/>
    <n v="53.03"/>
    <n v="10230"/>
    <x v="6"/>
  </r>
  <r>
    <x v="4"/>
    <s v="Western Asia"/>
    <s v="Lebanon"/>
    <x v="3"/>
    <n v="92"/>
    <x v="0"/>
    <n v="5.9508390000000002"/>
    <n v="54.9"/>
    <n v="10230"/>
    <x v="6"/>
  </r>
  <r>
    <x v="4"/>
    <s v="Western Asia"/>
    <s v="Lebanon"/>
    <x v="4"/>
    <n v="93"/>
    <x v="95"/>
    <n v="5.7819070000000004"/>
    <n v="51.95"/>
    <n v="10230"/>
    <x v="251"/>
  </r>
  <r>
    <x v="4"/>
    <s v="Western Asia"/>
    <s v="Lebanon"/>
    <x v="5"/>
    <n v="93"/>
    <x v="95"/>
    <n v="5.6629230000000002"/>
    <n v="31.71"/>
    <n v="10230"/>
    <x v="6"/>
  </r>
  <r>
    <x v="4"/>
    <s v="Western Asia"/>
    <s v="Oman"/>
    <x v="0"/>
    <n v="86"/>
    <x v="95"/>
    <n v="4.1917759999999999"/>
    <n v="78.709999999999994"/>
    <n v="309500"/>
    <x v="6"/>
  </r>
  <r>
    <x v="4"/>
    <s v="Western Asia"/>
    <s v="Oman"/>
    <x v="1"/>
    <n v="86.67"/>
    <x v="95"/>
    <n v="4.3980699999999997"/>
    <n v="75.13"/>
    <n v="309500"/>
    <x v="151"/>
  </r>
  <r>
    <x v="4"/>
    <s v="Western Asia"/>
    <s v="Oman"/>
    <x v="2"/>
    <n v="86.67"/>
    <x v="95"/>
    <n v="4.5418539999999998"/>
    <n v="80.86"/>
    <n v="309500"/>
    <x v="6"/>
  </r>
  <r>
    <x v="4"/>
    <s v="Western Asia"/>
    <s v="Oman"/>
    <x v="3"/>
    <n v="87"/>
    <x v="95"/>
    <n v="4.6011569999999997"/>
    <n v="91.51"/>
    <n v="309500"/>
    <x v="252"/>
  </r>
  <r>
    <x v="4"/>
    <s v="Western Asia"/>
    <s v="Oman"/>
    <x v="4"/>
    <n v="87.67"/>
    <x v="95"/>
    <n v="4.6027680000000002"/>
    <n v="88.06"/>
    <n v="309500"/>
    <x v="6"/>
  </r>
  <r>
    <x v="4"/>
    <s v="Western Asia"/>
    <s v="Oman"/>
    <x v="5"/>
    <n v="87.67"/>
    <x v="95"/>
    <n v="4.543399"/>
    <n v="75.91"/>
    <n v="309500"/>
    <x v="253"/>
  </r>
  <r>
    <x v="4"/>
    <s v="Western Asia"/>
    <s v="Qatar"/>
    <x v="0"/>
    <n v="100"/>
    <x v="10"/>
    <n v="2.4145729999999999"/>
    <n v="161.74"/>
    <n v="11490"/>
    <x v="254"/>
  </r>
  <r>
    <x v="4"/>
    <s v="Western Asia"/>
    <s v="Qatar"/>
    <x v="1"/>
    <n v="100"/>
    <x v="10"/>
    <n v="2.5951659999999999"/>
    <n v="151.72999999999999"/>
    <n v="11490"/>
    <x v="255"/>
  </r>
  <r>
    <x v="4"/>
    <s v="Western Asia"/>
    <s v="Qatar"/>
    <x v="2"/>
    <n v="100"/>
    <x v="10"/>
    <n v="2.7117550000000001"/>
    <n v="161.1"/>
    <n v="11490"/>
    <x v="58"/>
  </r>
  <r>
    <x v="4"/>
    <s v="Western Asia"/>
    <s v="Qatar"/>
    <x v="3"/>
    <n v="100"/>
    <x v="10"/>
    <n v="2.7667320000000002"/>
    <n v="183.33"/>
    <n v="11490"/>
    <x v="256"/>
  </r>
  <r>
    <x v="4"/>
    <s v="Western Asia"/>
    <s v="Qatar"/>
    <x v="4"/>
    <n v="100"/>
    <x v="10"/>
    <n v="2.8072349999999999"/>
    <n v="175.84"/>
    <n v="11490"/>
    <x v="257"/>
  </r>
  <r>
    <x v="4"/>
    <s v="Western Asia"/>
    <s v="Qatar"/>
    <x v="5"/>
    <n v="100"/>
    <x v="10"/>
    <n v="2.7603849999999999"/>
    <n v="144.41"/>
    <n v="11490"/>
    <x v="58"/>
  </r>
  <r>
    <x v="4"/>
    <s v="Western Asia"/>
    <s v="Saudi Arabia"/>
    <x v="0"/>
    <n v="100"/>
    <x v="10"/>
    <n v="32.749848"/>
    <n v="654.27"/>
    <n v="2149690"/>
    <x v="258"/>
  </r>
  <r>
    <x v="4"/>
    <s v="Western Asia"/>
    <s v="Saudi Arabia"/>
    <x v="1"/>
    <n v="100"/>
    <x v="10"/>
    <n v="33.416269999999997"/>
    <n v="644.94000000000005"/>
    <n v="2149690"/>
    <x v="258"/>
  </r>
  <r>
    <x v="4"/>
    <s v="Western Asia"/>
    <s v="Saudi Arabia"/>
    <x v="2"/>
    <n v="100"/>
    <x v="10"/>
    <n v="34.193122000000002"/>
    <n v="688.59"/>
    <n v="2149690"/>
    <x v="259"/>
  </r>
  <r>
    <x v="4"/>
    <s v="Western Asia"/>
    <s v="Saudi Arabia"/>
    <x v="3"/>
    <n v="100"/>
    <x v="10"/>
    <n v="35.018132999999999"/>
    <n v="816.58"/>
    <n v="2149690"/>
    <x v="260"/>
  </r>
  <r>
    <x v="4"/>
    <s v="Western Asia"/>
    <s v="Saudi Arabia"/>
    <x v="4"/>
    <n v="100"/>
    <x v="10"/>
    <n v="35.827362000000001"/>
    <n v="803.62"/>
    <n v="2149690"/>
    <x v="261"/>
  </r>
  <r>
    <x v="4"/>
    <s v="Western Asia"/>
    <s v="Saudi Arabia"/>
    <x v="5"/>
    <n v="100"/>
    <x v="10"/>
    <n v="35.997107"/>
    <n v="703.37"/>
    <n v="2149690"/>
    <x v="262"/>
  </r>
  <r>
    <x v="4"/>
    <s v="Western Asia"/>
    <s v="State of Palestine"/>
    <x v="0"/>
    <n v="96"/>
    <x v="66"/>
    <s v="NULL"/>
    <s v="NULL"/>
    <s v="NULL"/>
    <x v="6"/>
  </r>
  <r>
    <x v="4"/>
    <s v="Western Asia"/>
    <s v="State of Palestine"/>
    <x v="1"/>
    <n v="96.67"/>
    <x v="7"/>
    <s v="NULL"/>
    <s v="NULL"/>
    <s v="NULL"/>
    <x v="6"/>
  </r>
  <r>
    <x v="4"/>
    <s v="Western Asia"/>
    <s v="State of Palestine"/>
    <x v="2"/>
    <n v="97"/>
    <x v="84"/>
    <s v="NULL"/>
    <s v="NULL"/>
    <s v="NULL"/>
    <x v="6"/>
  </r>
  <r>
    <x v="4"/>
    <s v="Western Asia"/>
    <s v="State of Palestine"/>
    <x v="3"/>
    <n v="97"/>
    <x v="3"/>
    <s v="NULL"/>
    <s v="NULL"/>
    <s v="NULL"/>
    <x v="6"/>
  </r>
  <r>
    <x v="4"/>
    <s v="Western Asia"/>
    <s v="State of Palestine"/>
    <x v="4"/>
    <n v="97.67"/>
    <x v="3"/>
    <s v="NULL"/>
    <s v="NULL"/>
    <s v="NULL"/>
    <x v="6"/>
  </r>
  <r>
    <x v="4"/>
    <s v="Western Asia"/>
    <s v="State of Palestine"/>
    <x v="5"/>
    <n v="98.33"/>
    <x v="8"/>
    <s v="NULL"/>
    <s v="NULL"/>
    <s v="NULL"/>
    <x v="6"/>
  </r>
  <r>
    <x v="4"/>
    <s v="Western Asia"/>
    <s v="Syrian Arab Republic"/>
    <x v="0"/>
    <n v="93.33"/>
    <x v="94"/>
    <n v="19.205178"/>
    <n v="16.47"/>
    <n v="183630"/>
    <x v="6"/>
  </r>
  <r>
    <x v="4"/>
    <s v="Western Asia"/>
    <s v="Syrian Arab Republic"/>
    <x v="1"/>
    <n v="93.67"/>
    <x v="94"/>
    <n v="18.964251999999998"/>
    <n v="12.6"/>
    <n v="183630"/>
    <x v="6"/>
  </r>
  <r>
    <x v="4"/>
    <s v="Western Asia"/>
    <s v="Syrian Arab Republic"/>
    <x v="2"/>
    <n v="93.67"/>
    <x v="94"/>
    <n v="18.983373"/>
    <n v="16.37"/>
    <n v="183630"/>
    <x v="6"/>
  </r>
  <r>
    <x v="4"/>
    <s v="Western Asia"/>
    <s v="Syrian Arab Republic"/>
    <x v="3"/>
    <n v="93.67"/>
    <x v="99"/>
    <n v="19.333462999999998"/>
    <n v="21.35"/>
    <n v="183630"/>
    <x v="6"/>
  </r>
  <r>
    <x v="4"/>
    <s v="Western Asia"/>
    <s v="Syrian Arab Republic"/>
    <x v="4"/>
    <n v="93.67"/>
    <x v="94"/>
    <n v="20.098251000000001"/>
    <n v="22.44"/>
    <n v="183630"/>
    <x v="6"/>
  </r>
  <r>
    <x v="4"/>
    <s v="Western Asia"/>
    <s v="Syrian Arab Republic"/>
    <x v="5"/>
    <n v="93.67"/>
    <x v="94"/>
    <n v="20.772594999999999"/>
    <n v="11.08"/>
    <n v="183630"/>
    <x v="6"/>
  </r>
  <r>
    <x v="4"/>
    <s v="Western Asia"/>
    <s v="TÃ¼rkiye"/>
    <x v="0"/>
    <n v="95.67"/>
    <x v="4"/>
    <s v="NULL"/>
    <s v="NULL"/>
    <s v="NULL"/>
    <x v="6"/>
  </r>
  <r>
    <x v="4"/>
    <s v="Western Asia"/>
    <s v="TÃ¼rkiye"/>
    <x v="1"/>
    <n v="96"/>
    <x v="6"/>
    <s v="NULL"/>
    <s v="NULL"/>
    <s v="NULL"/>
    <x v="6"/>
  </r>
  <r>
    <x v="4"/>
    <s v="Western Asia"/>
    <s v="TÃ¼rkiye"/>
    <x v="2"/>
    <n v="96.33"/>
    <x v="1"/>
    <s v="NULL"/>
    <s v="NULL"/>
    <s v="NULL"/>
    <x v="6"/>
  </r>
  <r>
    <x v="4"/>
    <s v="Western Asia"/>
    <s v="TÃ¼rkiye"/>
    <x v="3"/>
    <n v="96.33"/>
    <x v="84"/>
    <s v="NULL"/>
    <s v="NULL"/>
    <s v="NULL"/>
    <x v="6"/>
  </r>
  <r>
    <x v="4"/>
    <s v="Western Asia"/>
    <s v="TÃ¼rkiye"/>
    <x v="4"/>
    <n v="96.67"/>
    <x v="40"/>
    <s v="NULL"/>
    <s v="NULL"/>
    <s v="NULL"/>
    <x v="6"/>
  </r>
  <r>
    <x v="4"/>
    <s v="Western Asia"/>
    <s v="TÃ¼rkiye"/>
    <x v="5"/>
    <n v="96.67"/>
    <x v="8"/>
    <s v="NULL"/>
    <s v="NULL"/>
    <s v="NULL"/>
    <x v="6"/>
  </r>
  <r>
    <x v="4"/>
    <s v="Western Asia"/>
    <s v="United Arab Emirates"/>
    <x v="0"/>
    <n v="100"/>
    <x v="95"/>
    <n v="8.9168990000000008"/>
    <n v="370.28"/>
    <n v="71020"/>
    <x v="6"/>
  </r>
  <r>
    <x v="4"/>
    <s v="Western Asia"/>
    <s v="United Arab Emirates"/>
    <x v="1"/>
    <n v="100"/>
    <x v="95"/>
    <n v="8.9942630000000001"/>
    <n v="369.26"/>
    <n v="71020"/>
    <x v="263"/>
  </r>
  <r>
    <x v="4"/>
    <s v="Western Asia"/>
    <s v="United Arab Emirates"/>
    <x v="2"/>
    <n v="100"/>
    <x v="95"/>
    <n v="9.0682960000000001"/>
    <n v="390.52"/>
    <n v="71020"/>
    <x v="139"/>
  </r>
  <r>
    <x v="4"/>
    <s v="Western Asia"/>
    <s v="United Arab Emirates"/>
    <x v="3"/>
    <n v="100"/>
    <x v="95"/>
    <n v="9.1401690000000002"/>
    <n v="427.05"/>
    <n v="71020"/>
    <x v="79"/>
  </r>
  <r>
    <x v="4"/>
    <s v="Western Asia"/>
    <s v="United Arab Emirates"/>
    <x v="4"/>
    <n v="100"/>
    <x v="95"/>
    <n v="9.2116570000000007"/>
    <n v="417.99"/>
    <n v="71020"/>
    <x v="264"/>
  </r>
  <r>
    <x v="4"/>
    <s v="Western Asia"/>
    <s v="United Arab Emirates"/>
    <x v="5"/>
    <n v="100"/>
    <x v="95"/>
    <n v="9.2872889999999995"/>
    <n v="349.47"/>
    <n v="71020"/>
    <x v="265"/>
  </r>
  <r>
    <x v="4"/>
    <s v="Western Asia"/>
    <s v="Yemen"/>
    <x v="0"/>
    <n v="59"/>
    <x v="120"/>
    <s v="NULL"/>
    <s v="NULL"/>
    <s v="NULL"/>
    <x v="6"/>
  </r>
  <r>
    <x v="4"/>
    <s v="Western Asia"/>
    <s v="Yemen"/>
    <x v="1"/>
    <n v="59.67"/>
    <x v="120"/>
    <s v="NULL"/>
    <s v="NULL"/>
    <s v="NULL"/>
    <x v="6"/>
  </r>
  <r>
    <x v="4"/>
    <s v="Western Asia"/>
    <s v="Yemen"/>
    <x v="2"/>
    <n v="60.33"/>
    <x v="133"/>
    <s v="NULL"/>
    <s v="NULL"/>
    <s v="NULL"/>
    <x v="6"/>
  </r>
  <r>
    <x v="4"/>
    <s v="Western Asia"/>
    <s v="Yemen"/>
    <x v="3"/>
    <n v="61.33"/>
    <x v="133"/>
    <s v="NULL"/>
    <s v="NULL"/>
    <s v="NULL"/>
    <x v="6"/>
  </r>
  <r>
    <x v="4"/>
    <s v="Western Asia"/>
    <s v="Yemen"/>
    <x v="4"/>
    <n v="62.33"/>
    <x v="134"/>
    <s v="NULL"/>
    <s v="NULL"/>
    <s v="NULL"/>
    <x v="6"/>
  </r>
  <r>
    <x v="4"/>
    <s v="Western Asia"/>
    <s v="Yemen"/>
    <x v="5"/>
    <n v="63"/>
    <x v="87"/>
    <s v="NULL"/>
    <s v="NULL"/>
    <s v="NULL"/>
    <x v="6"/>
  </r>
  <r>
    <x v="5"/>
    <s v="Australia and New Zealand"/>
    <s v="Australia"/>
    <x v="0"/>
    <n v="100"/>
    <x v="10"/>
    <n v="23.815995000000001"/>
    <n v="1350.62"/>
    <n v="7682300"/>
    <x v="266"/>
  </r>
  <r>
    <x v="5"/>
    <s v="Australia and New Zealand"/>
    <s v="Australia"/>
    <x v="1"/>
    <n v="100"/>
    <x v="10"/>
    <n v="24.190906999999999"/>
    <n v="1206.54"/>
    <n v="7692020"/>
    <x v="267"/>
  </r>
  <r>
    <x v="5"/>
    <s v="Australia and New Zealand"/>
    <s v="Australia"/>
    <x v="2"/>
    <n v="100"/>
    <x v="10"/>
    <n v="24.594201999999999"/>
    <n v="1326.52"/>
    <n v="7692020"/>
    <x v="268"/>
  </r>
  <r>
    <x v="5"/>
    <s v="Australia and New Zealand"/>
    <s v="Australia"/>
    <x v="3"/>
    <n v="100"/>
    <x v="10"/>
    <n v="24.966643000000001"/>
    <n v="1428.29"/>
    <n v="7692020"/>
    <x v="269"/>
  </r>
  <r>
    <x v="5"/>
    <s v="Australia and New Zealand"/>
    <s v="Australia"/>
    <x v="4"/>
    <n v="100"/>
    <x v="10"/>
    <n v="25.340216999999999"/>
    <n v="1392.23"/>
    <n v="7692020"/>
    <x v="9"/>
  </r>
  <r>
    <x v="5"/>
    <s v="Australia and New Zealand"/>
    <s v="Australia"/>
    <x v="5"/>
    <n v="100"/>
    <x v="10"/>
    <n v="25.655289"/>
    <n v="1326.9"/>
    <n v="7692020"/>
    <x v="270"/>
  </r>
  <r>
    <x v="5"/>
    <s v="Australia and New Zealand"/>
    <s v="New Zealand"/>
    <x v="0"/>
    <n v="100"/>
    <x v="10"/>
    <n v="4.6093999999999999"/>
    <n v="178.06"/>
    <n v="263310"/>
    <x v="271"/>
  </r>
  <r>
    <x v="5"/>
    <s v="Australia and New Zealand"/>
    <s v="New Zealand"/>
    <x v="1"/>
    <n v="100"/>
    <x v="10"/>
    <n v="4.7141000000000002"/>
    <n v="188.84"/>
    <n v="263310"/>
    <x v="8"/>
  </r>
  <r>
    <x v="5"/>
    <s v="Australia and New Zealand"/>
    <s v="New Zealand"/>
    <x v="2"/>
    <n v="100"/>
    <x v="10"/>
    <n v="4.8136000000000001"/>
    <n v="206.62"/>
    <n v="263310"/>
    <x v="272"/>
  </r>
  <r>
    <x v="5"/>
    <s v="Australia and New Zealand"/>
    <s v="New Zealand"/>
    <x v="3"/>
    <n v="100"/>
    <x v="10"/>
    <n v="4.9005999999999998"/>
    <n v="211.95"/>
    <n v="263310"/>
    <x v="273"/>
  </r>
  <r>
    <x v="5"/>
    <s v="Australia and New Zealand"/>
    <s v="New Zealand"/>
    <x v="4"/>
    <n v="100"/>
    <x v="10"/>
    <n v="4.9791999999999996"/>
    <n v="213.43"/>
    <n v="263310"/>
    <x v="274"/>
  </r>
  <r>
    <x v="5"/>
    <s v="Australia and New Zealand"/>
    <s v="New Zealand"/>
    <x v="5"/>
    <n v="100"/>
    <x v="10"/>
    <n v="5.0902000000000003"/>
    <n v="211.73"/>
    <n v="263310"/>
    <x v="184"/>
  </r>
  <r>
    <x v="5"/>
    <s v="Melanesia"/>
    <s v="Fiji"/>
    <x v="0"/>
    <n v="93.67"/>
    <x v="66"/>
    <n v="0.91720000000000002"/>
    <n v="4.68"/>
    <n v="18270"/>
    <x v="6"/>
  </r>
  <r>
    <x v="5"/>
    <s v="Melanesia"/>
    <s v="Fiji"/>
    <x v="1"/>
    <n v="93.67"/>
    <x v="2"/>
    <n v="0.91837100000000005"/>
    <n v="4.93"/>
    <n v="18270"/>
    <x v="35"/>
  </r>
  <r>
    <x v="5"/>
    <s v="Melanesia"/>
    <s v="Fiji"/>
    <x v="2"/>
    <n v="93.67"/>
    <x v="40"/>
    <n v="0.91901900000000003"/>
    <n v="5.35"/>
    <n v="18270"/>
    <x v="6"/>
  </r>
  <r>
    <x v="5"/>
    <s v="Melanesia"/>
    <s v="Fiji"/>
    <x v="3"/>
    <n v="93.67"/>
    <x v="95"/>
    <n v="0.91899600000000004"/>
    <n v="5.58"/>
    <n v="18270"/>
    <x v="6"/>
  </r>
  <r>
    <x v="5"/>
    <s v="Melanesia"/>
    <s v="Fiji"/>
    <x v="4"/>
    <n v="93.67"/>
    <x v="95"/>
    <n v="0.91846499999999998"/>
    <n v="5.48"/>
    <n v="18270"/>
    <x v="6"/>
  </r>
  <r>
    <x v="5"/>
    <s v="Melanesia"/>
    <s v="Fiji"/>
    <x v="5"/>
    <n v="93.67"/>
    <x v="95"/>
    <n v="0.92042199999999996"/>
    <n v="4.4800000000000004"/>
    <n v="18270"/>
    <x v="6"/>
  </r>
  <r>
    <x v="5"/>
    <s v="Melanesia"/>
    <s v="New Caledonia"/>
    <x v="0"/>
    <n v="98"/>
    <x v="10"/>
    <n v="0.26945999999999998"/>
    <n v="8.74"/>
    <n v="18280"/>
    <x v="6"/>
  </r>
  <r>
    <x v="5"/>
    <s v="Melanesia"/>
    <s v="New Caledonia"/>
    <x v="1"/>
    <n v="98"/>
    <x v="10"/>
    <n v="0.27022000000000002"/>
    <n v="8.7200000000000006"/>
    <n v="18280"/>
    <x v="6"/>
  </r>
  <r>
    <x v="5"/>
    <s v="Melanesia"/>
    <s v="New Caledonia"/>
    <x v="2"/>
    <n v="99"/>
    <x v="10"/>
    <n v="0.27081"/>
    <n v="9.17"/>
    <n v="18280"/>
    <x v="275"/>
  </r>
  <r>
    <x v="5"/>
    <s v="Melanesia"/>
    <s v="New Caledonia"/>
    <x v="3"/>
    <n v="99"/>
    <x v="10"/>
    <n v="0.27117000000000002"/>
    <n v="9.85"/>
    <n v="18280"/>
    <x v="276"/>
  </r>
  <r>
    <x v="5"/>
    <s v="Melanesia"/>
    <s v="New Caledonia"/>
    <x v="4"/>
    <n v="99"/>
    <x v="10"/>
    <n v="0.27123000000000003"/>
    <n v="9.44"/>
    <n v="18280"/>
    <x v="277"/>
  </r>
  <r>
    <x v="5"/>
    <s v="Melanesia"/>
    <s v="New Caledonia"/>
    <x v="5"/>
    <n v="99"/>
    <x v="10"/>
    <n v="0.27112999999999998"/>
    <n v="9.44"/>
    <n v="18280"/>
    <x v="278"/>
  </r>
  <r>
    <x v="5"/>
    <s v="Melanesia"/>
    <s v="Papua New Guinea"/>
    <x v="0"/>
    <n v="53.67"/>
    <x v="135"/>
    <n v="8.6821739999999998"/>
    <n v="21.72"/>
    <n v="452860"/>
    <x v="6"/>
  </r>
  <r>
    <x v="5"/>
    <s v="Melanesia"/>
    <s v="Papua New Guinea"/>
    <x v="1"/>
    <n v="54.33"/>
    <x v="136"/>
    <n v="8.8991690000000006"/>
    <n v="20.76"/>
    <n v="452860"/>
    <x v="6"/>
  </r>
  <r>
    <x v="5"/>
    <s v="Melanesia"/>
    <s v="Papua New Guinea"/>
    <x v="2"/>
    <n v="55"/>
    <x v="137"/>
    <n v="9.1147960000000001"/>
    <n v="22.74"/>
    <n v="452860"/>
    <x v="6"/>
  </r>
  <r>
    <x v="5"/>
    <s v="Melanesia"/>
    <s v="Papua New Guinea"/>
    <x v="3"/>
    <n v="55.67"/>
    <x v="137"/>
    <n v="9.3292269999999995"/>
    <n v="24.11"/>
    <n v="452860"/>
    <x v="6"/>
  </r>
  <r>
    <x v="5"/>
    <s v="Melanesia"/>
    <s v="Papua New Guinea"/>
    <x v="4"/>
    <n v="56.33"/>
    <x v="137"/>
    <n v="9.5424860000000002"/>
    <n v="24.75"/>
    <n v="452860"/>
    <x v="6"/>
  </r>
  <r>
    <x v="5"/>
    <s v="Melanesia"/>
    <s v="Papua New Guinea"/>
    <x v="5"/>
    <n v="56.67"/>
    <x v="137"/>
    <n v="9.7496399999999994"/>
    <n v="23.85"/>
    <n v="452860"/>
    <x v="6"/>
  </r>
  <r>
    <x v="5"/>
    <s v="Melanesia"/>
    <s v="Solomon Islands"/>
    <x v="0"/>
    <n v="74.33"/>
    <x v="138"/>
    <n v="0.61265999999999998"/>
    <n v="1.31"/>
    <n v="27990"/>
    <x v="6"/>
  </r>
  <r>
    <x v="5"/>
    <s v="Melanesia"/>
    <s v="Solomon Islands"/>
    <x v="1"/>
    <n v="74"/>
    <x v="139"/>
    <n v="0.62810200000000005"/>
    <n v="1.38"/>
    <n v="27990"/>
    <x v="6"/>
  </r>
  <r>
    <x v="5"/>
    <s v="Melanesia"/>
    <s v="Solomon Islands"/>
    <x v="2"/>
    <n v="73.33"/>
    <x v="140"/>
    <n v="0.64363400000000004"/>
    <n v="1.47"/>
    <n v="27990"/>
    <x v="6"/>
  </r>
  <r>
    <x v="5"/>
    <s v="Melanesia"/>
    <s v="Solomon Islands"/>
    <x v="3"/>
    <n v="72.33"/>
    <x v="141"/>
    <n v="0.65924899999999997"/>
    <n v="1.62"/>
    <n v="27990"/>
    <x v="6"/>
  </r>
  <r>
    <x v="5"/>
    <s v="Melanesia"/>
    <s v="Solomon Islands"/>
    <x v="4"/>
    <n v="72.33"/>
    <x v="141"/>
    <n v="0.67499299999999995"/>
    <n v="1.62"/>
    <n v="27990"/>
    <x v="6"/>
  </r>
  <r>
    <x v="5"/>
    <s v="Melanesia"/>
    <s v="Solomon Islands"/>
    <x v="5"/>
    <n v="72.33"/>
    <x v="142"/>
    <n v="0.691191"/>
    <n v="1.54"/>
    <n v="27990"/>
    <x v="6"/>
  </r>
  <r>
    <x v="5"/>
    <s v="Melanesia"/>
    <s v="Vanuatu"/>
    <x v="0"/>
    <n v="92"/>
    <x v="143"/>
    <n v="0.27643800000000002"/>
    <n v="0.73"/>
    <n v="12190"/>
    <x v="6"/>
  </r>
  <r>
    <x v="5"/>
    <s v="Melanesia"/>
    <s v="Vanuatu"/>
    <x v="1"/>
    <n v="92.67"/>
    <x v="86"/>
    <n v="0.28321800000000003"/>
    <n v="0.78"/>
    <n v="12190"/>
    <x v="6"/>
  </r>
  <r>
    <x v="5"/>
    <s v="Melanesia"/>
    <s v="Vanuatu"/>
    <x v="2"/>
    <n v="93"/>
    <x v="86"/>
    <n v="0.29023900000000002"/>
    <n v="0.88"/>
    <n v="12190"/>
    <x v="6"/>
  </r>
  <r>
    <x v="5"/>
    <s v="Melanesia"/>
    <s v="Vanuatu"/>
    <x v="3"/>
    <n v="93"/>
    <x v="86"/>
    <n v="0.29729800000000001"/>
    <n v="0.91"/>
    <n v="12190"/>
    <x v="6"/>
  </r>
  <r>
    <x v="5"/>
    <s v="Melanesia"/>
    <s v="Vanuatu"/>
    <x v="4"/>
    <n v="93"/>
    <x v="86"/>
    <n v="0.30440400000000001"/>
    <n v="0.94"/>
    <n v="12190"/>
    <x v="279"/>
  </r>
  <r>
    <x v="5"/>
    <s v="Melanesia"/>
    <s v="Vanuatu"/>
    <x v="5"/>
    <n v="93"/>
    <x v="86"/>
    <n v="0.31168499999999999"/>
    <n v="0.9"/>
    <n v="12190"/>
    <x v="34"/>
  </r>
  <r>
    <x v="5"/>
    <s v="Micronesia"/>
    <s v="Guam"/>
    <x v="0"/>
    <n v="100"/>
    <x v="94"/>
    <n v="0.16797799999999999"/>
    <n v="5.8"/>
    <n v="540"/>
    <x v="7"/>
  </r>
  <r>
    <x v="5"/>
    <s v="Micronesia"/>
    <s v="Guam"/>
    <x v="1"/>
    <n v="100"/>
    <x v="94"/>
    <n v="0.168346"/>
    <n v="5.9"/>
    <n v="540"/>
    <x v="280"/>
  </r>
  <r>
    <x v="5"/>
    <s v="Micronesia"/>
    <s v="Guam"/>
    <x v="2"/>
    <n v="100"/>
    <x v="67"/>
    <n v="0.16860600000000001"/>
    <n v="6.01"/>
    <n v="540"/>
    <x v="6"/>
  </r>
  <r>
    <x v="5"/>
    <s v="Micronesia"/>
    <s v="Guam"/>
    <x v="3"/>
    <n v="100"/>
    <x v="67"/>
    <n v="0.16867799999999999"/>
    <n v="6.06"/>
    <n v="540"/>
    <x v="6"/>
  </r>
  <r>
    <x v="5"/>
    <s v="Micronesia"/>
    <s v="Guam"/>
    <x v="4"/>
    <n v="100"/>
    <x v="67"/>
    <n v="0.168624"/>
    <n v="6.37"/>
    <n v="540"/>
    <x v="6"/>
  </r>
  <r>
    <x v="5"/>
    <s v="Micronesia"/>
    <s v="Guam"/>
    <x v="5"/>
    <n v="100"/>
    <x v="67"/>
    <n v="0.16923099999999999"/>
    <n v="5.89"/>
    <n v="540"/>
    <x v="6"/>
  </r>
  <r>
    <x v="5"/>
    <s v="Micronesia"/>
    <s v="Kiribati"/>
    <x v="0"/>
    <n v="73.67"/>
    <x v="144"/>
    <n v="0.11670700000000001"/>
    <n v="0.17"/>
    <n v="810"/>
    <x v="281"/>
  </r>
  <r>
    <x v="5"/>
    <s v="Micronesia"/>
    <s v="Kiribati"/>
    <x v="1"/>
    <n v="74.33"/>
    <x v="145"/>
    <n v="0.11851299999999999"/>
    <n v="0.18"/>
    <n v="810"/>
    <x v="6"/>
  </r>
  <r>
    <x v="5"/>
    <s v="Micronesia"/>
    <s v="Kiribati"/>
    <x v="2"/>
    <n v="75"/>
    <x v="140"/>
    <n v="0.120362"/>
    <n v="0.19"/>
    <n v="810"/>
    <x v="6"/>
  </r>
  <r>
    <x v="5"/>
    <s v="Micronesia"/>
    <s v="Kiribati"/>
    <x v="3"/>
    <n v="75.33"/>
    <x v="141"/>
    <n v="0.12226099999999999"/>
    <n v="0.2"/>
    <n v="810"/>
    <x v="6"/>
  </r>
  <r>
    <x v="5"/>
    <s v="Micronesia"/>
    <s v="Kiribati"/>
    <x v="4"/>
    <n v="76"/>
    <x v="142"/>
    <n v="0.124241"/>
    <n v="0.18"/>
    <n v="810"/>
    <x v="282"/>
  </r>
  <r>
    <x v="5"/>
    <s v="Micronesia"/>
    <s v="Kiribati"/>
    <x v="5"/>
    <n v="77"/>
    <x v="146"/>
    <n v="0.12646299999999999"/>
    <n v="0.18"/>
    <n v="810"/>
    <x v="283"/>
  </r>
  <r>
    <x v="5"/>
    <s v="Micronesia"/>
    <s v="Marshall Islands"/>
    <x v="0"/>
    <n v="89.33"/>
    <x v="117"/>
    <n v="4.9410000000000003E-2"/>
    <n v="0.18"/>
    <n v="180"/>
    <x v="6"/>
  </r>
  <r>
    <x v="5"/>
    <s v="Micronesia"/>
    <s v="Marshall Islands"/>
    <x v="1"/>
    <n v="89.67"/>
    <x v="117"/>
    <n v="4.8328999999999997E-2"/>
    <n v="0.2"/>
    <n v="180"/>
    <x v="6"/>
  </r>
  <r>
    <x v="5"/>
    <s v="Micronesia"/>
    <s v="Marshall Islands"/>
    <x v="2"/>
    <n v="89.67"/>
    <x v="82"/>
    <n v="4.7187E-2"/>
    <n v="0.21"/>
    <n v="180"/>
    <x v="6"/>
  </r>
  <r>
    <x v="5"/>
    <s v="Micronesia"/>
    <s v="Marshall Islands"/>
    <x v="3"/>
    <n v="90"/>
    <x v="82"/>
    <n v="4.5989000000000002E-2"/>
    <n v="0.22"/>
    <n v="180"/>
    <x v="6"/>
  </r>
  <r>
    <x v="5"/>
    <s v="Micronesia"/>
    <s v="Marshall Islands"/>
    <x v="4"/>
    <n v="90"/>
    <x v="82"/>
    <n v="4.4727999999999997E-2"/>
    <n v="0.23"/>
    <n v="180"/>
    <x v="91"/>
  </r>
  <r>
    <x v="5"/>
    <s v="Micronesia"/>
    <s v="Marshall Islands"/>
    <x v="5"/>
    <n v="90"/>
    <x v="82"/>
    <n v="4.3413E-2"/>
    <n v="0.24"/>
    <n v="180"/>
    <x v="6"/>
  </r>
  <r>
    <x v="5"/>
    <s v="Micronesia"/>
    <s v="Micronesia (Federated States of)"/>
    <x v="0"/>
    <n v="88"/>
    <x v="37"/>
    <s v="NULL"/>
    <s v="NULL"/>
    <s v="NULL"/>
    <x v="6"/>
  </r>
  <r>
    <x v="5"/>
    <s v="Micronesia"/>
    <s v="Micronesia (Federated States of)"/>
    <x v="1"/>
    <n v="88"/>
    <x v="37"/>
    <s v="NULL"/>
    <s v="NULL"/>
    <s v="NULL"/>
    <x v="6"/>
  </r>
  <r>
    <x v="5"/>
    <s v="Micronesia"/>
    <s v="Micronesia (Federated States of)"/>
    <x v="2"/>
    <n v="88"/>
    <x v="37"/>
    <s v="NULL"/>
    <s v="NULL"/>
    <s v="NULL"/>
    <x v="6"/>
  </r>
  <r>
    <x v="5"/>
    <s v="Micronesia"/>
    <s v="Micronesia (Federated States of)"/>
    <x v="3"/>
    <n v="88"/>
    <x v="37"/>
    <s v="NULL"/>
    <s v="NULL"/>
    <s v="NULL"/>
    <x v="6"/>
  </r>
  <r>
    <x v="5"/>
    <s v="Micronesia"/>
    <s v="Micronesia (Federated States of)"/>
    <x v="4"/>
    <n v="88"/>
    <x v="37"/>
    <s v="NULL"/>
    <s v="NULL"/>
    <s v="NULL"/>
    <x v="6"/>
  </r>
  <r>
    <x v="5"/>
    <s v="Micronesia"/>
    <s v="Nauru"/>
    <x v="0"/>
    <n v="100"/>
    <x v="147"/>
    <n v="1.1185E-2"/>
    <n v="0.09"/>
    <n v="20"/>
    <x v="6"/>
  </r>
  <r>
    <x v="5"/>
    <s v="Micronesia"/>
    <s v="Nauru"/>
    <x v="1"/>
    <n v="100"/>
    <x v="147"/>
    <n v="1.1436999999999999E-2"/>
    <n v="0.1"/>
    <n v="20"/>
    <x v="6"/>
  </r>
  <r>
    <x v="5"/>
    <s v="Micronesia"/>
    <s v="Nauru"/>
    <x v="2"/>
    <n v="100"/>
    <x v="147"/>
    <n v="1.1682E-2"/>
    <n v="0.11"/>
    <n v="20"/>
    <x v="6"/>
  </r>
  <r>
    <x v="5"/>
    <s v="Micronesia"/>
    <s v="Nauru"/>
    <x v="3"/>
    <n v="100"/>
    <x v="67"/>
    <n v="1.1924000000000001E-2"/>
    <n v="0.12"/>
    <n v="20"/>
    <x v="6"/>
  </r>
  <r>
    <x v="5"/>
    <s v="Micronesia"/>
    <s v="Nauru"/>
    <x v="4"/>
    <n v="100"/>
    <x v="67"/>
    <n v="1.2132E-2"/>
    <n v="0.12"/>
    <n v="20"/>
    <x v="6"/>
  </r>
  <r>
    <x v="5"/>
    <s v="Micronesia"/>
    <s v="Nauru"/>
    <x v="5"/>
    <n v="100"/>
    <x v="67"/>
    <n v="1.2315E-2"/>
    <n v="0.11"/>
    <n v="20"/>
    <x v="6"/>
  </r>
  <r>
    <x v="5"/>
    <s v="Micronesia"/>
    <s v="Northern Mariana Islands"/>
    <x v="0"/>
    <n v="100"/>
    <x v="82"/>
    <n v="5.1513999999999997E-2"/>
    <n v="0.91"/>
    <n v="460"/>
    <x v="6"/>
  </r>
  <r>
    <x v="5"/>
    <s v="Micronesia"/>
    <s v="Northern Mariana Islands"/>
    <x v="1"/>
    <n v="100"/>
    <x v="121"/>
    <n v="5.1132999999999998E-2"/>
    <n v="1.23"/>
    <n v="460"/>
    <x v="6"/>
  </r>
  <r>
    <x v="5"/>
    <s v="Micronesia"/>
    <s v="Northern Mariana Islands"/>
    <x v="2"/>
    <n v="100"/>
    <x v="121"/>
    <n v="5.0729000000000003E-2"/>
    <n v="1.56"/>
    <n v="460"/>
    <x v="6"/>
  </r>
  <r>
    <x v="5"/>
    <s v="Micronesia"/>
    <s v="Northern Mariana Islands"/>
    <x v="3"/>
    <n v="100"/>
    <x v="121"/>
    <n v="5.0304000000000001E-2"/>
    <n v="1.3"/>
    <n v="460"/>
    <x v="6"/>
  </r>
  <r>
    <x v="5"/>
    <s v="Micronesia"/>
    <s v="Northern Mariana Islands"/>
    <x v="4"/>
    <n v="100"/>
    <x v="121"/>
    <n v="4.9858E-2"/>
    <n v="1.18"/>
    <n v="460"/>
    <x v="6"/>
  </r>
  <r>
    <x v="5"/>
    <s v="Micronesia"/>
    <s v="Northern Mariana Islands"/>
    <x v="5"/>
    <n v="100"/>
    <x v="121"/>
    <n v="4.9586999999999999E-2"/>
    <s v="NULL"/>
    <n v="460"/>
    <x v="6"/>
  </r>
  <r>
    <x v="5"/>
    <s v="Micronesia"/>
    <s v="Palau"/>
    <x v="0"/>
    <n v="100"/>
    <x v="40"/>
    <n v="1.7794000000000001E-2"/>
    <n v="0.28000000000000003"/>
    <n v="460"/>
    <x v="6"/>
  </r>
  <r>
    <x v="5"/>
    <s v="Micronesia"/>
    <s v="Palau"/>
    <x v="1"/>
    <n v="100"/>
    <x v="95"/>
    <n v="1.7815999999999999E-2"/>
    <n v="0.3"/>
    <n v="460"/>
    <x v="6"/>
  </r>
  <r>
    <x v="5"/>
    <s v="Micronesia"/>
    <s v="Palau"/>
    <x v="2"/>
    <n v="100"/>
    <x v="78"/>
    <n v="1.7836999999999999E-2"/>
    <n v="0.28999999999999998"/>
    <n v="460"/>
    <x v="6"/>
  </r>
  <r>
    <x v="5"/>
    <s v="Micronesia"/>
    <s v="Palau"/>
    <x v="3"/>
    <n v="100"/>
    <x v="78"/>
    <n v="1.7864000000000001E-2"/>
    <n v="0.28000000000000003"/>
    <n v="460"/>
    <x v="6"/>
  </r>
  <r>
    <x v="5"/>
    <s v="Micronesia"/>
    <s v="Palau"/>
    <x v="4"/>
    <n v="100"/>
    <x v="78"/>
    <n v="1.7916000000000001E-2"/>
    <n v="0.28000000000000003"/>
    <n v="460"/>
    <x v="6"/>
  </r>
  <r>
    <x v="5"/>
    <s v="Micronesia"/>
    <s v="Palau"/>
    <x v="5"/>
    <n v="100"/>
    <x v="78"/>
    <n v="1.7971999999999998E-2"/>
    <n v="0.25"/>
    <n v="460"/>
    <x v="71"/>
  </r>
  <r>
    <x v="5"/>
    <s v="Polynesia"/>
    <s v="American Samoa"/>
    <x v="0"/>
    <n v="100"/>
    <x v="134"/>
    <n v="5.1367999999999997E-2"/>
    <n v="0.67"/>
    <n v="200"/>
    <x v="6"/>
  </r>
  <r>
    <x v="5"/>
    <s v="Polynesia"/>
    <s v="American Samoa"/>
    <x v="1"/>
    <n v="100"/>
    <x v="143"/>
    <n v="5.0448E-2"/>
    <n v="0.67"/>
    <n v="200"/>
    <x v="6"/>
  </r>
  <r>
    <x v="5"/>
    <s v="Polynesia"/>
    <s v="American Samoa"/>
    <x v="2"/>
    <n v="100"/>
    <x v="16"/>
    <n v="4.9463E-2"/>
    <n v="0.61"/>
    <n v="200"/>
    <x v="6"/>
  </r>
  <r>
    <x v="5"/>
    <s v="Polynesia"/>
    <s v="American Samoa"/>
    <x v="3"/>
    <n v="100"/>
    <x v="16"/>
    <n v="4.8424000000000002E-2"/>
    <n v="0.64"/>
    <n v="200"/>
    <x v="6"/>
  </r>
  <r>
    <x v="5"/>
    <s v="Polynesia"/>
    <s v="American Samoa"/>
    <x v="4"/>
    <n v="100"/>
    <x v="16"/>
    <n v="4.7321000000000002E-2"/>
    <n v="0.65"/>
    <n v="200"/>
    <x v="6"/>
  </r>
  <r>
    <x v="5"/>
    <s v="Polynesia"/>
    <s v="American Samoa"/>
    <x v="5"/>
    <n v="100"/>
    <x v="16"/>
    <n v="4.6189000000000001E-2"/>
    <n v="0.72"/>
    <n v="200"/>
    <x v="6"/>
  </r>
  <r>
    <x v="5"/>
    <s v="Polynesia"/>
    <s v="Cook Islands"/>
    <x v="0"/>
    <n v="100"/>
    <x v="0"/>
    <s v="NULL"/>
    <s v="NULL"/>
    <s v="NULL"/>
    <x v="6"/>
  </r>
  <r>
    <x v="5"/>
    <s v="Polynesia"/>
    <s v="Cook Islands"/>
    <x v="1"/>
    <n v="100"/>
    <x v="0"/>
    <s v="NULL"/>
    <s v="NULL"/>
    <s v="NULL"/>
    <x v="6"/>
  </r>
  <r>
    <x v="5"/>
    <s v="Polynesia"/>
    <s v="Cook Islands"/>
    <x v="2"/>
    <n v="100"/>
    <x v="95"/>
    <s v="NULL"/>
    <s v="NULL"/>
    <s v="NULL"/>
    <x v="6"/>
  </r>
  <r>
    <x v="5"/>
    <s v="Polynesia"/>
    <s v="Cook Islands"/>
    <x v="3"/>
    <n v="100"/>
    <x v="95"/>
    <s v="NULL"/>
    <s v="NULL"/>
    <s v="NULL"/>
    <x v="6"/>
  </r>
  <r>
    <x v="5"/>
    <s v="Polynesia"/>
    <s v="Cook Islands"/>
    <x v="4"/>
    <n v="100"/>
    <x v="95"/>
    <s v="NULL"/>
    <s v="NULL"/>
    <s v="NULL"/>
    <x v="6"/>
  </r>
  <r>
    <x v="5"/>
    <s v="Polynesia"/>
    <s v="Cook Islands"/>
    <x v="5"/>
    <n v="100"/>
    <x v="95"/>
    <s v="NULL"/>
    <s v="NULL"/>
    <s v="NULL"/>
    <x v="6"/>
  </r>
  <r>
    <x v="5"/>
    <s v="Polynesia"/>
    <s v="French Polynesia"/>
    <x v="0"/>
    <n v="100"/>
    <x v="84"/>
    <n v="0.29178700000000002"/>
    <n v="5.33"/>
    <n v="3471"/>
    <x v="6"/>
  </r>
  <r>
    <x v="5"/>
    <s v="Polynesia"/>
    <s v="French Polynesia"/>
    <x v="1"/>
    <n v="100"/>
    <x v="84"/>
    <n v="0.293541"/>
    <n v="5.5"/>
    <n v="3471"/>
    <x v="6"/>
  </r>
  <r>
    <x v="5"/>
    <s v="Polynesia"/>
    <s v="French Polynesia"/>
    <x v="2"/>
    <n v="100"/>
    <x v="84"/>
    <n v="0.29544999999999999"/>
    <n v="5.83"/>
    <n v="3471"/>
    <x v="6"/>
  </r>
  <r>
    <x v="5"/>
    <s v="Polynesia"/>
    <s v="French Polynesia"/>
    <x v="3"/>
    <n v="100"/>
    <x v="84"/>
    <n v="0.29760599999999998"/>
    <n v="6.14"/>
    <n v="3471"/>
    <x v="6"/>
  </r>
  <r>
    <x v="5"/>
    <s v="Polynesia"/>
    <s v="French Polynesia"/>
    <x v="4"/>
    <n v="100"/>
    <x v="84"/>
    <n v="0.29971700000000001"/>
    <n v="6"/>
    <n v="3471"/>
    <x v="6"/>
  </r>
  <r>
    <x v="5"/>
    <s v="Polynesia"/>
    <s v="French Polynesia"/>
    <x v="5"/>
    <n v="100"/>
    <x v="84"/>
    <n v="0.30192000000000002"/>
    <n v="5.71"/>
    <n v="3471"/>
    <x v="6"/>
  </r>
  <r>
    <x v="5"/>
    <s v="Polynesia"/>
    <s v="Niue"/>
    <x v="0"/>
    <n v="98"/>
    <x v="84"/>
    <s v="NULL"/>
    <s v="NULL"/>
    <s v="NULL"/>
    <x v="6"/>
  </r>
  <r>
    <x v="5"/>
    <s v="Polynesia"/>
    <s v="Niue"/>
    <x v="1"/>
    <n v="97"/>
    <x v="84"/>
    <s v="NULL"/>
    <s v="NULL"/>
    <s v="NULL"/>
    <x v="6"/>
  </r>
  <r>
    <x v="5"/>
    <s v="Polynesia"/>
    <s v="Niue"/>
    <x v="2"/>
    <n v="97"/>
    <x v="66"/>
    <s v="NULL"/>
    <s v="NULL"/>
    <s v="NULL"/>
    <x v="6"/>
  </r>
  <r>
    <x v="5"/>
    <s v="Polynesia"/>
    <s v="Niue"/>
    <x v="3"/>
    <n v="97"/>
    <x v="66"/>
    <s v="NULL"/>
    <s v="NULL"/>
    <s v="NULL"/>
    <x v="6"/>
  </r>
  <r>
    <x v="5"/>
    <s v="Polynesia"/>
    <s v="Niue"/>
    <x v="4"/>
    <n v="97"/>
    <x v="66"/>
    <s v="NULL"/>
    <s v="NULL"/>
    <s v="NULL"/>
    <x v="6"/>
  </r>
  <r>
    <x v="5"/>
    <s v="Polynesia"/>
    <s v="Niue"/>
    <x v="5"/>
    <n v="97"/>
    <x v="66"/>
    <s v="NULL"/>
    <s v="NULL"/>
    <s v="NULL"/>
    <x v="6"/>
  </r>
  <r>
    <x v="5"/>
    <s v="Polynesia"/>
    <s v="Samoa"/>
    <x v="0"/>
    <n v="91"/>
    <x v="66"/>
    <n v="0.203571"/>
    <n v="0.82"/>
    <n v="2830"/>
    <x v="6"/>
  </r>
  <r>
    <x v="5"/>
    <s v="Polynesia"/>
    <s v="Samoa"/>
    <x v="1"/>
    <n v="92"/>
    <x v="66"/>
    <n v="0.205544"/>
    <n v="0.84"/>
    <n v="2830"/>
    <x v="6"/>
  </r>
  <r>
    <x v="5"/>
    <s v="Polynesia"/>
    <s v="Samoa"/>
    <x v="2"/>
    <n v="92"/>
    <x v="7"/>
    <n v="0.20763000000000001"/>
    <n v="0.88"/>
    <n v="2780"/>
    <x v="284"/>
  </r>
  <r>
    <x v="5"/>
    <s v="Polynesia"/>
    <s v="Samoa"/>
    <x v="3"/>
    <n v="92"/>
    <x v="7"/>
    <n v="0.209701"/>
    <n v="0.88"/>
    <n v="2780"/>
    <x v="6"/>
  </r>
  <r>
    <x v="5"/>
    <s v="Polynesia"/>
    <s v="Samoa"/>
    <x v="4"/>
    <n v="92"/>
    <x v="7"/>
    <n v="0.21190500000000001"/>
    <n v="0.91"/>
    <n v="2780"/>
    <x v="6"/>
  </r>
  <r>
    <x v="5"/>
    <s v="Polynesia"/>
    <s v="Samoa"/>
    <x v="5"/>
    <n v="92"/>
    <x v="7"/>
    <n v="0.21492900000000001"/>
    <n v="0.87"/>
    <n v="2780"/>
    <x v="6"/>
  </r>
  <r>
    <x v="5"/>
    <s v="Polynesia"/>
    <s v="Tokelau"/>
    <x v="0"/>
    <n v="99"/>
    <x v="111"/>
    <s v="NULL"/>
    <s v="NULL"/>
    <s v="NULL"/>
    <x v="6"/>
  </r>
  <r>
    <x v="5"/>
    <s v="Polynesia"/>
    <s v="Tokelau"/>
    <x v="1"/>
    <n v="100"/>
    <x v="66"/>
    <s v="NULL"/>
    <s v="NULL"/>
    <s v="NULL"/>
    <x v="6"/>
  </r>
  <r>
    <x v="5"/>
    <s v="Polynesia"/>
    <s v="Tokelau"/>
    <x v="2"/>
    <n v="100"/>
    <x v="84"/>
    <s v="NULL"/>
    <s v="NULL"/>
    <s v="NULL"/>
    <x v="6"/>
  </r>
  <r>
    <x v="5"/>
    <s v="Polynesia"/>
    <s v="Tokelau"/>
    <x v="3"/>
    <n v="100"/>
    <x v="84"/>
    <s v="NULL"/>
    <s v="NULL"/>
    <s v="NULL"/>
    <x v="6"/>
  </r>
  <r>
    <x v="5"/>
    <s v="Polynesia"/>
    <s v="Tokelau"/>
    <x v="4"/>
    <n v="100"/>
    <x v="84"/>
    <s v="NULL"/>
    <s v="NULL"/>
    <s v="NULL"/>
    <x v="6"/>
  </r>
  <r>
    <x v="5"/>
    <s v="Polynesia"/>
    <s v="Tokelau"/>
    <x v="5"/>
    <n v="100"/>
    <x v="84"/>
    <s v="NULL"/>
    <s v="NULL"/>
    <s v="NULL"/>
    <x v="6"/>
  </r>
  <r>
    <x v="5"/>
    <s v="Polynesia"/>
    <s v="Tonga"/>
    <x v="0"/>
    <n v="98.67"/>
    <x v="111"/>
    <n v="0.10612199999999999"/>
    <n v="0.44"/>
    <n v="720"/>
    <x v="6"/>
  </r>
  <r>
    <x v="5"/>
    <s v="Polynesia"/>
    <s v="Tonga"/>
    <x v="1"/>
    <n v="98.67"/>
    <x v="111"/>
    <n v="0.105707"/>
    <n v="0.42"/>
    <n v="720"/>
    <x v="6"/>
  </r>
  <r>
    <x v="5"/>
    <s v="Polynesia"/>
    <s v="Tonga"/>
    <x v="2"/>
    <n v="98.67"/>
    <x v="52"/>
    <n v="0.10541499999999999"/>
    <n v="0.46"/>
    <n v="720"/>
    <x v="6"/>
  </r>
  <r>
    <x v="5"/>
    <s v="Polynesia"/>
    <s v="Tonga"/>
    <x v="3"/>
    <n v="98.67"/>
    <x v="52"/>
    <n v="0.10514999999999999"/>
    <n v="0.49"/>
    <n v="720"/>
    <x v="285"/>
  </r>
  <r>
    <x v="5"/>
    <s v="Polynesia"/>
    <s v="Tonga"/>
    <x v="4"/>
    <n v="98.67"/>
    <x v="52"/>
    <n v="0.104951"/>
    <n v="0.51"/>
    <n v="720"/>
    <x v="6"/>
  </r>
  <r>
    <x v="5"/>
    <s v="Polynesia"/>
    <s v="Tonga"/>
    <x v="5"/>
    <n v="99"/>
    <x v="148"/>
    <n v="0.105254"/>
    <n v="0.48"/>
    <n v="720"/>
    <x v="6"/>
  </r>
  <r>
    <x v="5"/>
    <s v="Polynesia"/>
    <s v="Tuvalu"/>
    <x v="0"/>
    <n v="100"/>
    <x v="53"/>
    <n v="1.0877E-2"/>
    <n v="0.04"/>
    <n v="30"/>
    <x v="6"/>
  </r>
  <r>
    <x v="5"/>
    <s v="Polynesia"/>
    <s v="Tuvalu"/>
    <x v="1"/>
    <n v="100"/>
    <x v="53"/>
    <n v="1.0852000000000001E-2"/>
    <n v="0.04"/>
    <n v="30"/>
    <x v="286"/>
  </r>
  <r>
    <x v="5"/>
    <s v="Polynesia"/>
    <s v="Tuvalu"/>
    <x v="2"/>
    <n v="100"/>
    <x v="53"/>
    <n v="1.0828000000000001E-2"/>
    <n v="0.05"/>
    <n v="30"/>
    <x v="287"/>
  </r>
  <r>
    <x v="5"/>
    <s v="Polynesia"/>
    <s v="Tuvalu"/>
    <x v="3"/>
    <n v="100"/>
    <x v="53"/>
    <n v="1.0865E-2"/>
    <n v="0.05"/>
    <n v="30"/>
    <x v="6"/>
  </r>
  <r>
    <x v="5"/>
    <s v="Polynesia"/>
    <s v="Tuvalu"/>
    <x v="4"/>
    <n v="100"/>
    <x v="67"/>
    <n v="1.0956E-2"/>
    <n v="0.05"/>
    <n v="30"/>
    <x v="6"/>
  </r>
  <r>
    <x v="5"/>
    <s v="Polynesia"/>
    <s v="Tuvalu"/>
    <x v="5"/>
    <n v="100"/>
    <x v="67"/>
    <n v="1.1069000000000001E-2"/>
    <n v="0.06"/>
    <n v="30"/>
    <x v="6"/>
  </r>
  <r>
    <x v="5"/>
    <s v="Polynesia"/>
    <s v="Wallis and Futuna Islands"/>
    <x v="0"/>
    <n v="99"/>
    <x v="4"/>
    <s v="NULL"/>
    <s v="NULL"/>
    <s v="NULL"/>
    <x v="6"/>
  </r>
  <r>
    <x v="5"/>
    <s v="Polynesia"/>
    <s v="Wallis and Futuna Islands"/>
    <x v="1"/>
    <n v="99"/>
    <x v="111"/>
    <s v="NULL"/>
    <s v="NULL"/>
    <s v="NULL"/>
    <x v="6"/>
  </r>
  <r>
    <x v="5"/>
    <s v="Polynesia"/>
    <s v="Wallis and Futuna Islands"/>
    <x v="2"/>
    <n v="99"/>
    <x v="111"/>
    <s v="NULL"/>
    <s v="NULL"/>
    <s v="NULL"/>
    <x v="6"/>
  </r>
  <r>
    <x v="5"/>
    <s v="Polynesia"/>
    <s v="Wallis and Futuna Islands"/>
    <x v="3"/>
    <n v="99"/>
    <x v="111"/>
    <s v="NULL"/>
    <s v="NULL"/>
    <s v="NULL"/>
    <x v="6"/>
  </r>
  <r>
    <x v="5"/>
    <s v="Polynesia"/>
    <s v="Wallis and Futuna Islands"/>
    <x v="4"/>
    <n v="99"/>
    <x v="130"/>
    <s v="NULL"/>
    <s v="NULL"/>
    <s v="NULL"/>
    <x v="6"/>
  </r>
  <r>
    <x v="5"/>
    <s v="Polynesia"/>
    <s v="Wallis and Futuna Islands"/>
    <x v="5"/>
    <n v="99"/>
    <x v="130"/>
    <s v="NULL"/>
    <s v="NULL"/>
    <s v="NULL"/>
    <x v="6"/>
  </r>
  <r>
    <x v="6"/>
    <s v="Eastern Africa"/>
    <s v="Burundi"/>
    <x v="0"/>
    <n v="68.33"/>
    <x v="142"/>
    <n v="10.727148"/>
    <n v="3.1"/>
    <n v="25680"/>
    <x v="6"/>
  </r>
  <r>
    <x v="6"/>
    <s v="Eastern Africa"/>
    <s v="Burundi"/>
    <x v="1"/>
    <n v="68.33"/>
    <x v="142"/>
    <n v="10.903327000000001"/>
    <n v="2.64"/>
    <n v="25680"/>
    <x v="6"/>
  </r>
  <r>
    <x v="6"/>
    <s v="Eastern Africa"/>
    <s v="Burundi"/>
    <x v="2"/>
    <n v="69.33"/>
    <x v="142"/>
    <n v="11.155593"/>
    <n v="2.71"/>
    <n v="25680"/>
    <x v="6"/>
  </r>
  <r>
    <x v="6"/>
    <s v="Eastern Africa"/>
    <s v="Burundi"/>
    <x v="3"/>
    <n v="69.33"/>
    <x v="141"/>
    <n v="11.493472000000001"/>
    <n v="2.66"/>
    <n v="25680"/>
    <x v="6"/>
  </r>
  <r>
    <x v="6"/>
    <s v="Eastern Africa"/>
    <s v="Burundi"/>
    <x v="4"/>
    <n v="70.33"/>
    <x v="141"/>
    <n v="11.874838"/>
    <n v="2.58"/>
    <n v="25680"/>
    <x v="6"/>
  </r>
  <r>
    <x v="6"/>
    <s v="Eastern Africa"/>
    <s v="Burundi"/>
    <x v="5"/>
    <n v="70.33"/>
    <x v="141"/>
    <n v="12.220227"/>
    <n v="2.65"/>
    <n v="25680"/>
    <x v="288"/>
  </r>
  <r>
    <x v="6"/>
    <s v="Eastern Africa"/>
    <s v="Comoros"/>
    <x v="0"/>
    <n v="81.67"/>
    <x v="149"/>
    <n v="0.73021599999999998"/>
    <n v="0.97"/>
    <n v="1861"/>
    <x v="6"/>
  </r>
  <r>
    <x v="6"/>
    <s v="Eastern Africa"/>
    <s v="Comoros"/>
    <x v="1"/>
    <n v="81.67"/>
    <x v="149"/>
    <n v="0.74623200000000001"/>
    <n v="1.01"/>
    <n v="1861"/>
    <x v="6"/>
  </r>
  <r>
    <x v="6"/>
    <s v="Eastern Africa"/>
    <s v="Comoros"/>
    <x v="2"/>
    <n v="81.67"/>
    <x v="149"/>
    <n v="0.76166400000000001"/>
    <n v="1.08"/>
    <n v="1861"/>
    <x v="6"/>
  </r>
  <r>
    <x v="6"/>
    <s v="Eastern Africa"/>
    <s v="Comoros"/>
    <x v="3"/>
    <n v="81.67"/>
    <x v="149"/>
    <n v="0.77631300000000003"/>
    <n v="1.19"/>
    <n v="1861"/>
    <x v="6"/>
  </r>
  <r>
    <x v="6"/>
    <s v="Eastern Africa"/>
    <s v="Comoros"/>
    <x v="4"/>
    <n v="81.67"/>
    <x v="149"/>
    <n v="0.79098599999999997"/>
    <n v="1.2"/>
    <n v="1861"/>
    <x v="6"/>
  </r>
  <r>
    <x v="6"/>
    <s v="Eastern Africa"/>
    <s v="Djibouti"/>
    <x v="0"/>
    <n v="69.67"/>
    <x v="20"/>
    <n v="1.006259"/>
    <n v="2.42"/>
    <n v="23180"/>
    <x v="6"/>
  </r>
  <r>
    <x v="6"/>
    <s v="Eastern Africa"/>
    <s v="Djibouti"/>
    <x v="1"/>
    <n v="69.33"/>
    <x v="21"/>
    <n v="1.023261"/>
    <n v="2.6"/>
    <n v="23180"/>
    <x v="6"/>
  </r>
  <r>
    <x v="6"/>
    <s v="Eastern Africa"/>
    <s v="Djibouti"/>
    <x v="2"/>
    <n v="69.33"/>
    <x v="150"/>
    <n v="1.040233"/>
    <n v="2.76"/>
    <n v="23180"/>
    <x v="289"/>
  </r>
  <r>
    <x v="6"/>
    <s v="Eastern Africa"/>
    <s v="Djibouti"/>
    <x v="3"/>
    <n v="69.33"/>
    <x v="151"/>
    <n v="1.0571980000000001"/>
    <n v="2.91"/>
    <n v="23180"/>
    <x v="6"/>
  </r>
  <r>
    <x v="6"/>
    <s v="Eastern Africa"/>
    <s v="Djibouti"/>
    <x v="4"/>
    <n v="69"/>
    <x v="143"/>
    <n v="1.0739939999999999"/>
    <n v="3.09"/>
    <n v="23180"/>
    <x v="6"/>
  </r>
  <r>
    <x v="6"/>
    <s v="Eastern Africa"/>
    <s v="Djibouti"/>
    <x v="5"/>
    <n v="69"/>
    <x v="143"/>
    <n v="1.0901559999999999"/>
    <n v="3.18"/>
    <n v="23180"/>
    <x v="6"/>
  </r>
  <r>
    <x v="6"/>
    <s v="Eastern Africa"/>
    <s v="Eritrea"/>
    <x v="0"/>
    <n v="56.33"/>
    <x v="152"/>
    <n v="3.3400059999999998"/>
    <s v="NULL"/>
    <n v="121088.77"/>
    <x v="6"/>
  </r>
  <r>
    <x v="6"/>
    <s v="Eastern Africa"/>
    <s v="Eritrea"/>
    <x v="1"/>
    <n v="56.67"/>
    <x v="152"/>
    <n v="3.3652869999999999"/>
    <s v="NULL"/>
    <n v="121077.46"/>
    <x v="6"/>
  </r>
  <r>
    <x v="6"/>
    <s v="Eastern Africa"/>
    <s v="Ethiopia"/>
    <x v="0"/>
    <n v="52"/>
    <x v="153"/>
    <n v="102.471895"/>
    <n v="64.59"/>
    <n v="1128539.3500000001"/>
    <x v="6"/>
  </r>
  <r>
    <x v="6"/>
    <s v="Eastern Africa"/>
    <s v="Ethiopia"/>
    <x v="1"/>
    <n v="53.33"/>
    <x v="154"/>
    <n v="105.293228"/>
    <n v="74.3"/>
    <n v="1128558.51"/>
    <x v="6"/>
  </r>
  <r>
    <x v="6"/>
    <s v="Eastern Africa"/>
    <s v="Ethiopia"/>
    <x v="2"/>
    <n v="54.67"/>
    <x v="154"/>
    <n v="108.19795000000001"/>
    <n v="81.77"/>
    <n v="1128552.82"/>
    <x v="6"/>
  </r>
  <r>
    <x v="6"/>
    <s v="Eastern Africa"/>
    <s v="Ethiopia"/>
    <x v="3"/>
    <n v="55.67"/>
    <x v="155"/>
    <n v="111.12943799999999"/>
    <n v="84.27"/>
    <n v="1128561.43"/>
    <x v="6"/>
  </r>
  <r>
    <x v="6"/>
    <s v="Eastern Africa"/>
    <s v="Ethiopia"/>
    <x v="4"/>
    <n v="57"/>
    <x v="156"/>
    <n v="114.120594"/>
    <n v="95.91"/>
    <n v="1128570.8600000001"/>
    <x v="6"/>
  </r>
  <r>
    <x v="6"/>
    <s v="Eastern Africa"/>
    <s v="Ethiopia"/>
    <x v="5"/>
    <n v="58"/>
    <x v="156"/>
    <n v="117.190911"/>
    <n v="107.66"/>
    <n v="1128571.26"/>
    <x v="6"/>
  </r>
  <r>
    <x v="6"/>
    <s v="Eastern Africa"/>
    <s v="Kenya"/>
    <x v="0"/>
    <n v="64.33"/>
    <x v="157"/>
    <n v="46.851488000000003"/>
    <n v="70.12"/>
    <n v="569140"/>
    <x v="6"/>
  </r>
  <r>
    <x v="6"/>
    <s v="Eastern Africa"/>
    <s v="Kenya"/>
    <x v="1"/>
    <n v="65"/>
    <x v="157"/>
    <n v="47.894669999999998"/>
    <n v="74.819999999999993"/>
    <n v="569140"/>
    <x v="290"/>
  </r>
  <r>
    <x v="6"/>
    <s v="Eastern Africa"/>
    <s v="Kenya"/>
    <x v="2"/>
    <n v="65.67"/>
    <x v="157"/>
    <n v="48.948137000000003"/>
    <n v="82.04"/>
    <n v="569140"/>
    <x v="6"/>
  </r>
  <r>
    <x v="6"/>
    <s v="Eastern Africa"/>
    <s v="Kenya"/>
    <x v="3"/>
    <n v="65.67"/>
    <x v="104"/>
    <n v="49.953304000000003"/>
    <n v="92.2"/>
    <n v="569140"/>
    <x v="6"/>
  </r>
  <r>
    <x v="6"/>
    <s v="Eastern Africa"/>
    <s v="Kenya"/>
    <x v="4"/>
    <n v="66.33"/>
    <x v="104"/>
    <n v="50.951450000000001"/>
    <n v="100.38"/>
    <n v="569140"/>
    <x v="136"/>
  </r>
  <r>
    <x v="6"/>
    <s v="Eastern Africa"/>
    <s v="Kenya"/>
    <x v="5"/>
    <n v="67"/>
    <x v="158"/>
    <n v="51.985779999999998"/>
    <n v="100.67"/>
    <n v="569140"/>
    <x v="6"/>
  </r>
  <r>
    <x v="6"/>
    <s v="Eastern Africa"/>
    <s v="Madagascar"/>
    <x v="0"/>
    <n v="53.33"/>
    <x v="154"/>
    <n v="24.850912000000001"/>
    <n v="11.32"/>
    <n v="581800"/>
    <x v="291"/>
  </r>
  <r>
    <x v="6"/>
    <s v="Eastern Africa"/>
    <s v="Madagascar"/>
    <x v="1"/>
    <n v="54"/>
    <x v="156"/>
    <n v="25.501940999999999"/>
    <n v="11.85"/>
    <n v="581800"/>
    <x v="6"/>
  </r>
  <r>
    <x v="6"/>
    <s v="Eastern Africa"/>
    <s v="Madagascar"/>
    <x v="2"/>
    <n v="54.67"/>
    <x v="159"/>
    <n v="26.169542"/>
    <n v="13.18"/>
    <n v="581800"/>
    <x v="6"/>
  </r>
  <r>
    <x v="6"/>
    <s v="Eastern Africa"/>
    <s v="Madagascar"/>
    <x v="3"/>
    <n v="55.33"/>
    <x v="160"/>
    <n v="26.846540999999998"/>
    <n v="13.76"/>
    <n v="581800"/>
    <x v="6"/>
  </r>
  <r>
    <x v="6"/>
    <s v="Eastern Africa"/>
    <s v="Madagascar"/>
    <x v="4"/>
    <n v="56"/>
    <x v="160"/>
    <n v="27.533134"/>
    <n v="14.1"/>
    <n v="581800"/>
    <x v="6"/>
  </r>
  <r>
    <x v="6"/>
    <s v="Eastern Africa"/>
    <s v="Madagascar"/>
    <x v="5"/>
    <n v="56.33"/>
    <x v="161"/>
    <n v="28.225176999999999"/>
    <n v="13.05"/>
    <n v="581800"/>
    <x v="6"/>
  </r>
  <r>
    <x v="6"/>
    <s v="Eastern Africa"/>
    <s v="Malawi"/>
    <x v="0"/>
    <n v="71.33"/>
    <x v="137"/>
    <n v="16.938942000000001"/>
    <n v="6.37"/>
    <n v="94280"/>
    <x v="6"/>
  </r>
  <r>
    <x v="6"/>
    <s v="Eastern Africa"/>
    <s v="Malawi"/>
    <x v="1"/>
    <n v="72"/>
    <x v="137"/>
    <n v="17.405624"/>
    <n v="5.43"/>
    <n v="94280"/>
    <x v="6"/>
  </r>
  <r>
    <x v="6"/>
    <s v="Eastern Africa"/>
    <s v="Malawi"/>
    <x v="2"/>
    <n v="72.67"/>
    <x v="136"/>
    <n v="17.881167000000001"/>
    <n v="8.94"/>
    <n v="94280"/>
    <x v="292"/>
  </r>
  <r>
    <x v="6"/>
    <s v="Eastern Africa"/>
    <s v="Malawi"/>
    <x v="3"/>
    <n v="73.33"/>
    <x v="136"/>
    <n v="18.367882999999999"/>
    <n v="9.8800000000000008"/>
    <n v="94280"/>
    <x v="6"/>
  </r>
  <r>
    <x v="6"/>
    <s v="Eastern Africa"/>
    <s v="Malawi"/>
    <x v="4"/>
    <n v="73.67"/>
    <x v="135"/>
    <n v="18.867336999999999"/>
    <n v="11.03"/>
    <n v="94280"/>
    <x v="6"/>
  </r>
  <r>
    <x v="6"/>
    <s v="Eastern Africa"/>
    <s v="Malawi"/>
    <x v="5"/>
    <n v="74.33"/>
    <x v="162"/>
    <n v="19.377061000000001"/>
    <n v="12.18"/>
    <n v="94280"/>
    <x v="293"/>
  </r>
  <r>
    <x v="6"/>
    <s v="Eastern Africa"/>
    <s v="Mauritius"/>
    <x v="0"/>
    <n v="100"/>
    <x v="6"/>
    <n v="1.262605"/>
    <n v="12.01"/>
    <n v="2030"/>
    <x v="55"/>
  </r>
  <r>
    <x v="6"/>
    <s v="Eastern Africa"/>
    <s v="Mauritius"/>
    <x v="1"/>
    <n v="100"/>
    <x v="6"/>
    <n v="1.2634730000000001"/>
    <n v="12.59"/>
    <n v="2030"/>
    <x v="294"/>
  </r>
  <r>
    <x v="6"/>
    <s v="Eastern Africa"/>
    <s v="Mauritius"/>
    <x v="2"/>
    <n v="100"/>
    <x v="6"/>
    <n v="1.264613"/>
    <n v="13.71"/>
    <n v="2030"/>
    <x v="295"/>
  </r>
  <r>
    <x v="6"/>
    <s v="Eastern Africa"/>
    <s v="Mauritius"/>
    <x v="3"/>
    <n v="100"/>
    <x v="66"/>
    <n v="1.2653030000000001"/>
    <n v="14.74"/>
    <n v="2030"/>
    <x v="296"/>
  </r>
  <r>
    <x v="6"/>
    <s v="Eastern Africa"/>
    <s v="Mauritius"/>
    <x v="4"/>
    <n v="100"/>
    <x v="66"/>
    <n v="1.265711"/>
    <n v="14.44"/>
    <n v="2030"/>
    <x v="297"/>
  </r>
  <r>
    <x v="6"/>
    <s v="Eastern Africa"/>
    <s v="Mauritius"/>
    <x v="5"/>
    <n v="100"/>
    <x v="66"/>
    <n v="1.2657400000000001"/>
    <n v="11.4"/>
    <n v="2030"/>
    <x v="110"/>
  </r>
  <r>
    <x v="6"/>
    <s v="Eastern Africa"/>
    <s v="Mayotte"/>
    <x v="0"/>
    <n v="97"/>
    <x v="93"/>
    <s v="NULL"/>
    <s v="NULL"/>
    <s v="NULL"/>
    <x v="6"/>
  </r>
  <r>
    <x v="6"/>
    <s v="Eastern Africa"/>
    <s v="Mayotte"/>
    <x v="1"/>
    <n v="97"/>
    <x v="130"/>
    <s v="NULL"/>
    <s v="NULL"/>
    <s v="NULL"/>
    <x v="6"/>
  </r>
  <r>
    <x v="6"/>
    <s v="Eastern Africa"/>
    <s v="Mayotte"/>
    <x v="2"/>
    <n v="97"/>
    <x v="84"/>
    <s v="NULL"/>
    <s v="NULL"/>
    <s v="NULL"/>
    <x v="6"/>
  </r>
  <r>
    <x v="6"/>
    <s v="Eastern Africa"/>
    <s v="Mayotte"/>
    <x v="3"/>
    <n v="96"/>
    <x v="10"/>
    <s v="NULL"/>
    <s v="NULL"/>
    <s v="NULL"/>
    <x v="6"/>
  </r>
  <r>
    <x v="6"/>
    <s v="Eastern Africa"/>
    <s v="Mayotte"/>
    <x v="4"/>
    <n v="96"/>
    <x v="10"/>
    <s v="NULL"/>
    <s v="NULL"/>
    <s v="NULL"/>
    <x v="6"/>
  </r>
  <r>
    <x v="6"/>
    <s v="Eastern Africa"/>
    <s v="Mayotte"/>
    <x v="5"/>
    <n v="96"/>
    <x v="10"/>
    <s v="NULL"/>
    <s v="NULL"/>
    <s v="NULL"/>
    <x v="6"/>
  </r>
  <r>
    <x v="6"/>
    <s v="Eastern Africa"/>
    <s v="Mozambique"/>
    <x v="0"/>
    <n v="55.67"/>
    <x v="157"/>
    <n v="26.843246000000001"/>
    <n v="15.95"/>
    <n v="786380"/>
    <x v="298"/>
  </r>
  <r>
    <x v="6"/>
    <s v="Eastern Africa"/>
    <s v="Mozambique"/>
    <x v="1"/>
    <n v="58"/>
    <x v="163"/>
    <n v="27.696493"/>
    <n v="11.94"/>
    <n v="786380"/>
    <x v="6"/>
  </r>
  <r>
    <x v="6"/>
    <s v="Eastern Africa"/>
    <s v="Mozambique"/>
    <x v="2"/>
    <n v="60"/>
    <x v="164"/>
    <n v="28.569441000000001"/>
    <n v="13.22"/>
    <n v="786380"/>
    <x v="6"/>
  </r>
  <r>
    <x v="6"/>
    <s v="Eastern Africa"/>
    <s v="Mozambique"/>
    <x v="3"/>
    <n v="62.33"/>
    <x v="165"/>
    <n v="29.423877999999998"/>
    <n v="14.85"/>
    <n v="786380"/>
    <x v="6"/>
  </r>
  <r>
    <x v="6"/>
    <s v="Eastern Africa"/>
    <s v="Mozambique"/>
    <x v="4"/>
    <n v="64.33"/>
    <x v="166"/>
    <n v="30.285595000000001"/>
    <n v="15.39"/>
    <n v="786380"/>
    <x v="6"/>
  </r>
  <r>
    <x v="6"/>
    <s v="Eastern Africa"/>
    <s v="Mozambique"/>
    <x v="5"/>
    <n v="66.67"/>
    <x v="129"/>
    <n v="31.178239000000001"/>
    <n v="14.03"/>
    <n v="786380"/>
    <x v="6"/>
  </r>
  <r>
    <x v="6"/>
    <s v="Eastern Africa"/>
    <s v="Rwanda"/>
    <x v="0"/>
    <n v="63"/>
    <x v="63"/>
    <n v="11.642958999999999"/>
    <n v="8.5399999999999991"/>
    <n v="24670"/>
    <x v="6"/>
  </r>
  <r>
    <x v="6"/>
    <s v="Eastern Africa"/>
    <s v="Rwanda"/>
    <x v="1"/>
    <n v="64"/>
    <x v="29"/>
    <n v="11.930899"/>
    <n v="8.69"/>
    <n v="24670"/>
    <x v="6"/>
  </r>
  <r>
    <x v="6"/>
    <s v="Eastern Africa"/>
    <s v="Rwanda"/>
    <x v="2"/>
    <n v="65"/>
    <x v="42"/>
    <n v="12.230339000000001"/>
    <n v="9.25"/>
    <n v="24670"/>
    <x v="299"/>
  </r>
  <r>
    <x v="6"/>
    <s v="Eastern Africa"/>
    <s v="Rwanda"/>
    <x v="3"/>
    <n v="65.67"/>
    <x v="45"/>
    <n v="12.531808"/>
    <n v="9.64"/>
    <n v="24670"/>
    <x v="300"/>
  </r>
  <r>
    <x v="6"/>
    <s v="Eastern Africa"/>
    <s v="Rwanda"/>
    <x v="4"/>
    <n v="66.33"/>
    <x v="167"/>
    <n v="12.835027999999999"/>
    <n v="10.36"/>
    <n v="24670"/>
    <x v="301"/>
  </r>
  <r>
    <x v="6"/>
    <s v="Eastern Africa"/>
    <s v="Rwanda"/>
    <x v="5"/>
    <n v="66.33"/>
    <x v="167"/>
    <n v="13.146362"/>
    <n v="10.18"/>
    <n v="24670"/>
    <x v="302"/>
  </r>
  <r>
    <x v="6"/>
    <s v="Eastern Africa"/>
    <s v="RÃ©union"/>
    <x v="0"/>
    <n v="100"/>
    <x v="95"/>
    <s v="NULL"/>
    <s v="NULL"/>
    <s v="NULL"/>
    <x v="6"/>
  </r>
  <r>
    <x v="6"/>
    <s v="Eastern Africa"/>
    <s v="RÃ©union"/>
    <x v="1"/>
    <n v="100"/>
    <x v="95"/>
    <s v="NULL"/>
    <s v="NULL"/>
    <s v="NULL"/>
    <x v="6"/>
  </r>
  <r>
    <x v="6"/>
    <s v="Eastern Africa"/>
    <s v="RÃ©union"/>
    <x v="2"/>
    <n v="100"/>
    <x v="95"/>
    <s v="NULL"/>
    <s v="NULL"/>
    <s v="NULL"/>
    <x v="6"/>
  </r>
  <r>
    <x v="6"/>
    <s v="Eastern Africa"/>
    <s v="RÃ©union"/>
    <x v="3"/>
    <n v="100"/>
    <x v="10"/>
    <s v="NULL"/>
    <s v="NULL"/>
    <s v="NULL"/>
    <x v="6"/>
  </r>
  <r>
    <x v="6"/>
    <s v="Eastern Africa"/>
    <s v="RÃ©union"/>
    <x v="4"/>
    <n v="100"/>
    <x v="10"/>
    <s v="NULL"/>
    <s v="NULL"/>
    <s v="NULL"/>
    <x v="6"/>
  </r>
  <r>
    <x v="6"/>
    <s v="Eastern Africa"/>
    <s v="RÃ©union"/>
    <x v="5"/>
    <n v="100"/>
    <x v="10"/>
    <s v="NULL"/>
    <s v="NULL"/>
    <s v="NULL"/>
    <x v="6"/>
  </r>
  <r>
    <x v="6"/>
    <s v="Eastern Africa"/>
    <s v="Seychelles"/>
    <x v="0"/>
    <n v="96"/>
    <x v="10"/>
    <n v="9.3419000000000002E-2"/>
    <n v="1.42"/>
    <n v="460"/>
    <x v="303"/>
  </r>
  <r>
    <x v="6"/>
    <s v="Eastern Africa"/>
    <s v="Seychelles"/>
    <x v="1"/>
    <n v="96"/>
    <x v="10"/>
    <n v="9.4676999999999997E-2"/>
    <n v="1.49"/>
    <n v="460"/>
    <x v="304"/>
  </r>
  <r>
    <x v="6"/>
    <s v="Eastern Africa"/>
    <s v="Seychelles"/>
    <x v="2"/>
    <n v="96"/>
    <x v="10"/>
    <n v="9.5842999999999998E-2"/>
    <n v="1.57"/>
    <n v="460"/>
    <x v="305"/>
  </r>
  <r>
    <x v="6"/>
    <s v="Eastern Africa"/>
    <s v="Seychelles"/>
    <x v="3"/>
    <n v="96"/>
    <x v="10"/>
    <n v="9.6762000000000001E-2"/>
    <n v="1.64"/>
    <n v="460"/>
    <x v="186"/>
  </r>
  <r>
    <x v="6"/>
    <s v="Eastern Africa"/>
    <s v="Seychelles"/>
    <x v="4"/>
    <n v="97"/>
    <x v="10"/>
    <n v="9.7625000000000003E-2"/>
    <n v="1.68"/>
    <n v="460"/>
    <x v="306"/>
  </r>
  <r>
    <x v="6"/>
    <s v="Eastern Africa"/>
    <s v="Somalia"/>
    <x v="0"/>
    <n v="50.67"/>
    <x v="164"/>
    <n v="13.763906"/>
    <n v="5.33"/>
    <n v="627340"/>
    <x v="6"/>
  </r>
  <r>
    <x v="6"/>
    <s v="Eastern Africa"/>
    <s v="Somalia"/>
    <x v="1"/>
    <n v="52"/>
    <x v="168"/>
    <n v="14.292847"/>
    <n v="5.53"/>
    <n v="627340"/>
    <x v="6"/>
  </r>
  <r>
    <x v="6"/>
    <s v="Eastern Africa"/>
    <s v="Somalia"/>
    <x v="2"/>
    <n v="53.33"/>
    <x v="165"/>
    <n v="14.864221000000001"/>
    <n v="5.61"/>
    <n v="627340"/>
    <x v="6"/>
  </r>
  <r>
    <x v="6"/>
    <s v="Eastern Africa"/>
    <s v="Somalia"/>
    <x v="3"/>
    <n v="54.67"/>
    <x v="169"/>
    <n v="15.411094"/>
    <n v="5.86"/>
    <n v="627340"/>
    <x v="6"/>
  </r>
  <r>
    <x v="6"/>
    <s v="Eastern Africa"/>
    <s v="Somalia"/>
    <x v="4"/>
    <n v="56.33"/>
    <x v="166"/>
    <n v="15.981299999999999"/>
    <n v="6.49"/>
    <n v="627340"/>
    <x v="307"/>
  </r>
  <r>
    <x v="6"/>
    <s v="Eastern Africa"/>
    <s v="Somalia"/>
    <x v="5"/>
    <n v="57.33"/>
    <x v="128"/>
    <n v="16.537016000000001"/>
    <n v="6.88"/>
    <n v="627340"/>
    <x v="6"/>
  </r>
  <r>
    <x v="6"/>
    <s v="Eastern Africa"/>
    <s v="South Sudan"/>
    <x v="0"/>
    <n v="46.33"/>
    <x v="170"/>
    <n v="11.194299000000001"/>
    <n v="12"/>
    <n v="631930"/>
    <x v="6"/>
  </r>
  <r>
    <x v="6"/>
    <s v="Eastern Africa"/>
    <s v="South Sudan"/>
    <x v="1"/>
    <n v="46.67"/>
    <x v="171"/>
    <n v="11.066105"/>
    <s v="NULL"/>
    <n v="631930"/>
    <x v="6"/>
  </r>
  <r>
    <x v="6"/>
    <s v="Eastern Africa"/>
    <s v="South Sudan"/>
    <x v="2"/>
    <n v="47"/>
    <x v="172"/>
    <n v="10.658226000000001"/>
    <s v="NULL"/>
    <n v="631930"/>
    <x v="6"/>
  </r>
  <r>
    <x v="6"/>
    <s v="Eastern Africa"/>
    <s v="South Sudan"/>
    <x v="3"/>
    <n v="47.67"/>
    <x v="173"/>
    <n v="10.395329"/>
    <s v="NULL"/>
    <n v="631930"/>
    <x v="6"/>
  </r>
  <r>
    <x v="6"/>
    <s v="Eastern Africa"/>
    <s v="South Sudan"/>
    <x v="4"/>
    <n v="48.33"/>
    <x v="174"/>
    <n v="10.447666"/>
    <s v="NULL"/>
    <n v="631930"/>
    <x v="6"/>
  </r>
  <r>
    <x v="6"/>
    <s v="Eastern Africa"/>
    <s v="South Sudan"/>
    <x v="5"/>
    <n v="48.33"/>
    <x v="174"/>
    <n v="10.606227000000001"/>
    <s v="NULL"/>
    <n v="631930"/>
    <x v="6"/>
  </r>
  <r>
    <x v="6"/>
    <s v="Eastern Africa"/>
    <s v="Uganda"/>
    <x v="0"/>
    <n v="55"/>
    <x v="175"/>
    <n v="37.477356"/>
    <n v="32.39"/>
    <n v="200520"/>
    <x v="6"/>
  </r>
  <r>
    <x v="6"/>
    <s v="Eastern Africa"/>
    <s v="Uganda"/>
    <x v="1"/>
    <n v="55.67"/>
    <x v="175"/>
    <n v="38.748299000000003"/>
    <n v="29.2"/>
    <n v="200520"/>
    <x v="6"/>
  </r>
  <r>
    <x v="6"/>
    <s v="Eastern Africa"/>
    <s v="Uganda"/>
    <x v="2"/>
    <n v="57"/>
    <x v="175"/>
    <n v="40.127085000000001"/>
    <n v="30.74"/>
    <n v="200520"/>
    <x v="308"/>
  </r>
  <r>
    <x v="6"/>
    <s v="Eastern Africa"/>
    <s v="Uganda"/>
    <x v="3"/>
    <n v="58.67"/>
    <x v="176"/>
    <n v="41.515394999999998"/>
    <n v="32.93"/>
    <n v="200520"/>
    <x v="6"/>
  </r>
  <r>
    <x v="6"/>
    <s v="Eastern Africa"/>
    <s v="Uganda"/>
    <x v="4"/>
    <n v="59.33"/>
    <x v="176"/>
    <n v="42.949080000000002"/>
    <n v="35.35"/>
    <n v="200520"/>
    <x v="6"/>
  </r>
  <r>
    <x v="6"/>
    <s v="Eastern Africa"/>
    <s v="Uganda"/>
    <x v="5"/>
    <n v="61"/>
    <x v="176"/>
    <n v="44.404611000000003"/>
    <n v="37.6"/>
    <n v="200520"/>
    <x v="6"/>
  </r>
  <r>
    <x v="6"/>
    <s v="Eastern Africa"/>
    <s v="United Republic of Tanzania"/>
    <x v="0"/>
    <n v="58.33"/>
    <x v="135"/>
    <s v="NULL"/>
    <s v="NULL"/>
    <s v="NULL"/>
    <x v="6"/>
  </r>
  <r>
    <x v="6"/>
    <s v="Eastern Africa"/>
    <s v="United Republic of Tanzania"/>
    <x v="1"/>
    <n v="60"/>
    <x v="177"/>
    <s v="NULL"/>
    <s v="NULL"/>
    <s v="NULL"/>
    <x v="6"/>
  </r>
  <r>
    <x v="6"/>
    <s v="Eastern Africa"/>
    <s v="United Republic of Tanzania"/>
    <x v="2"/>
    <n v="61.67"/>
    <x v="178"/>
    <s v="NULL"/>
    <s v="NULL"/>
    <s v="NULL"/>
    <x v="6"/>
  </r>
  <r>
    <x v="6"/>
    <s v="Eastern Africa"/>
    <s v="United Republic of Tanzania"/>
    <x v="3"/>
    <n v="63.33"/>
    <x v="103"/>
    <s v="NULL"/>
    <s v="NULL"/>
    <s v="NULL"/>
    <x v="6"/>
  </r>
  <r>
    <x v="6"/>
    <s v="Eastern Africa"/>
    <s v="United Republic of Tanzania"/>
    <x v="4"/>
    <n v="64.67"/>
    <x v="179"/>
    <s v="NULL"/>
    <s v="NULL"/>
    <s v="NULL"/>
    <x v="6"/>
  </r>
  <r>
    <x v="6"/>
    <s v="Eastern Africa"/>
    <s v="United Republic of Tanzania"/>
    <x v="5"/>
    <n v="65"/>
    <x v="179"/>
    <s v="NULL"/>
    <s v="NULL"/>
    <s v="NULL"/>
    <x v="6"/>
  </r>
  <r>
    <x v="6"/>
    <s v="Eastern Africa"/>
    <s v="Zambia"/>
    <x v="0"/>
    <n v="63.67"/>
    <x v="178"/>
    <n v="16.24823"/>
    <n v="21.25"/>
    <n v="743390"/>
    <x v="6"/>
  </r>
  <r>
    <x v="6"/>
    <s v="Eastern Africa"/>
    <s v="Zambia"/>
    <x v="1"/>
    <n v="64.33"/>
    <x v="178"/>
    <n v="16.767761"/>
    <n v="20.96"/>
    <n v="743390"/>
    <x v="6"/>
  </r>
  <r>
    <x v="6"/>
    <s v="Eastern Africa"/>
    <s v="Zambia"/>
    <x v="2"/>
    <n v="64.67"/>
    <x v="180"/>
    <n v="17.298054"/>
    <n v="25.87"/>
    <n v="743390"/>
    <x v="309"/>
  </r>
  <r>
    <x v="6"/>
    <s v="Eastern Africa"/>
    <s v="Zambia"/>
    <x v="3"/>
    <n v="65.33"/>
    <x v="181"/>
    <n v="17.835892999999999"/>
    <n v="26.31"/>
    <n v="743390"/>
    <x v="21"/>
  </r>
  <r>
    <x v="6"/>
    <s v="Eastern Africa"/>
    <s v="Zambia"/>
    <x v="4"/>
    <n v="66.33"/>
    <x v="181"/>
    <n v="18.380476999999999"/>
    <n v="23.31"/>
    <n v="743390"/>
    <x v="310"/>
  </r>
  <r>
    <x v="6"/>
    <s v="Eastern Africa"/>
    <s v="Zambia"/>
    <x v="5"/>
    <n v="66.67"/>
    <x v="182"/>
    <n v="18.927714999999999"/>
    <n v="18.11"/>
    <n v="743390"/>
    <x v="260"/>
  </r>
  <r>
    <x v="6"/>
    <s v="Eastern Africa"/>
    <s v="Zimbabwe"/>
    <x v="0"/>
    <n v="70"/>
    <x v="128"/>
    <n v="14.154937"/>
    <n v="19.96"/>
    <n v="386850"/>
    <x v="6"/>
  </r>
  <r>
    <x v="6"/>
    <s v="Eastern Africa"/>
    <s v="Zimbabwe"/>
    <x v="1"/>
    <n v="69.33"/>
    <x v="166"/>
    <n v="14.452704000000001"/>
    <n v="20.55"/>
    <n v="386850"/>
    <x v="6"/>
  </r>
  <r>
    <x v="6"/>
    <s v="Eastern Africa"/>
    <s v="Zimbabwe"/>
    <x v="2"/>
    <n v="69"/>
    <x v="127"/>
    <n v="14.751101"/>
    <n v="17.579999999999998"/>
    <n v="386850"/>
    <x v="6"/>
  </r>
  <r>
    <x v="6"/>
    <s v="Eastern Africa"/>
    <s v="Zimbabwe"/>
    <x v="3"/>
    <n v="68.67"/>
    <x v="149"/>
    <n v="15.052184"/>
    <n v="34.159999999999997"/>
    <n v="386850"/>
    <x v="6"/>
  </r>
  <r>
    <x v="6"/>
    <s v="Eastern Africa"/>
    <s v="Zimbabwe"/>
    <x v="4"/>
    <n v="68.33"/>
    <x v="183"/>
    <n v="15.354608000000001"/>
    <n v="21.83"/>
    <n v="386850"/>
    <x v="311"/>
  </r>
  <r>
    <x v="6"/>
    <s v="Eastern Africa"/>
    <s v="Zimbabwe"/>
    <x v="5"/>
    <n v="68"/>
    <x v="168"/>
    <n v="15.669665999999999"/>
    <n v="21.51"/>
    <n v="386850"/>
    <x v="6"/>
  </r>
  <r>
    <x v="6"/>
    <s v="Middle Africa"/>
    <s v="Angola"/>
    <x v="0"/>
    <n v="50.33"/>
    <x v="139"/>
    <n v="28.127721000000001"/>
    <n v="87.22"/>
    <n v="1246700"/>
    <x v="6"/>
  </r>
  <r>
    <x v="6"/>
    <s v="Middle Africa"/>
    <s v="Angola"/>
    <x v="1"/>
    <n v="51"/>
    <x v="142"/>
    <n v="29.154745999999999"/>
    <n v="49.84"/>
    <n v="1246700"/>
    <x v="6"/>
  </r>
  <r>
    <x v="6"/>
    <s v="Middle Africa"/>
    <s v="Angola"/>
    <x v="2"/>
    <n v="51.33"/>
    <x v="11"/>
    <n v="30.208628000000001"/>
    <n v="68.97"/>
    <n v="1246700"/>
    <x v="6"/>
  </r>
  <r>
    <x v="6"/>
    <s v="Middle Africa"/>
    <s v="Angola"/>
    <x v="3"/>
    <n v="52.33"/>
    <x v="184"/>
    <n v="31.273533"/>
    <n v="77.790000000000006"/>
    <n v="1246700"/>
    <x v="6"/>
  </r>
  <r>
    <x v="6"/>
    <s v="Middle Africa"/>
    <s v="Angola"/>
    <x v="4"/>
    <n v="52.33"/>
    <x v="184"/>
    <n v="32.353588000000002"/>
    <n v="69.31"/>
    <n v="1246700"/>
    <x v="312"/>
  </r>
  <r>
    <x v="6"/>
    <s v="Middle Africa"/>
    <s v="Angola"/>
    <x v="5"/>
    <n v="52.33"/>
    <x v="12"/>
    <n v="33.428485999999999"/>
    <n v="53.62"/>
    <n v="1246700"/>
    <x v="6"/>
  </r>
  <r>
    <x v="6"/>
    <s v="Middle Africa"/>
    <s v="Cameroon"/>
    <x v="0"/>
    <n v="62.67"/>
    <x v="185"/>
    <n v="23.012646"/>
    <n v="32.21"/>
    <n v="472710"/>
    <x v="6"/>
  </r>
  <r>
    <x v="6"/>
    <s v="Middle Africa"/>
    <s v="Cameroon"/>
    <x v="1"/>
    <n v="62.67"/>
    <x v="185"/>
    <n v="23.71163"/>
    <n v="33.81"/>
    <n v="472710"/>
    <x v="6"/>
  </r>
  <r>
    <x v="6"/>
    <s v="Middle Africa"/>
    <s v="Cameroon"/>
    <x v="2"/>
    <n v="63.33"/>
    <x v="186"/>
    <n v="24.393180999999998"/>
    <n v="36.1"/>
    <n v="472710"/>
    <x v="6"/>
  </r>
  <r>
    <x v="6"/>
    <s v="Middle Africa"/>
    <s v="Cameroon"/>
    <x v="3"/>
    <n v="63.33"/>
    <x v="187"/>
    <n v="25.076747000000001"/>
    <n v="39.97"/>
    <n v="472710"/>
    <x v="6"/>
  </r>
  <r>
    <x v="6"/>
    <s v="Middle Africa"/>
    <s v="Cameroon"/>
    <x v="4"/>
    <n v="63.33"/>
    <x v="187"/>
    <n v="25.782340999999999"/>
    <n v="39.67"/>
    <n v="472710"/>
    <x v="6"/>
  </r>
  <r>
    <x v="6"/>
    <s v="Middle Africa"/>
    <s v="Cameroon"/>
    <x v="5"/>
    <n v="64"/>
    <x v="144"/>
    <n v="26.491087"/>
    <n v="40.770000000000003"/>
    <n v="472710"/>
    <x v="6"/>
  </r>
  <r>
    <x v="6"/>
    <s v="Middle Africa"/>
    <s v="Central African Republic"/>
    <x v="0"/>
    <n v="44"/>
    <x v="188"/>
    <n v="4.8193330000000003"/>
    <n v="1.7"/>
    <n v="622980"/>
    <x v="6"/>
  </r>
  <r>
    <x v="6"/>
    <s v="Middle Africa"/>
    <s v="Central African Republic"/>
    <x v="1"/>
    <n v="42.67"/>
    <x v="171"/>
    <n v="4.9041769999999998"/>
    <n v="1.83"/>
    <n v="622980"/>
    <x v="6"/>
  </r>
  <r>
    <x v="6"/>
    <s v="Middle Africa"/>
    <s v="Central African Republic"/>
    <x v="2"/>
    <n v="41.33"/>
    <x v="189"/>
    <n v="4.9967410000000001"/>
    <n v="2.0699999999999998"/>
    <n v="622980"/>
    <x v="6"/>
  </r>
  <r>
    <x v="6"/>
    <s v="Middle Africa"/>
    <s v="Central African Republic"/>
    <x v="3"/>
    <n v="40.67"/>
    <x v="190"/>
    <n v="5.0947800000000001"/>
    <n v="2.2200000000000002"/>
    <n v="622980"/>
    <x v="6"/>
  </r>
  <r>
    <x v="6"/>
    <s v="Middle Africa"/>
    <s v="Central African Republic"/>
    <x v="4"/>
    <n v="39.33"/>
    <x v="191"/>
    <n v="5.2093239999999996"/>
    <n v="2.2200000000000002"/>
    <n v="622980"/>
    <x v="6"/>
  </r>
  <r>
    <x v="6"/>
    <s v="Middle Africa"/>
    <s v="Central African Republic"/>
    <x v="5"/>
    <n v="38.33"/>
    <x v="192"/>
    <n v="5.3430200000000001"/>
    <n v="2.33"/>
    <n v="622980"/>
    <x v="6"/>
  </r>
  <r>
    <x v="6"/>
    <s v="Middle Africa"/>
    <s v="Chad"/>
    <x v="0"/>
    <n v="51.67"/>
    <x v="193"/>
    <n v="14.140274"/>
    <n v="10.95"/>
    <n v="1259200"/>
    <x v="6"/>
  </r>
  <r>
    <x v="6"/>
    <s v="Middle Africa"/>
    <s v="Chad"/>
    <x v="1"/>
    <n v="52"/>
    <x v="189"/>
    <n v="14.592585"/>
    <n v="10.1"/>
    <n v="1259200"/>
    <x v="6"/>
  </r>
  <r>
    <x v="6"/>
    <s v="Middle Africa"/>
    <s v="Chad"/>
    <x v="2"/>
    <n v="52"/>
    <x v="171"/>
    <n v="15.085884"/>
    <n v="10"/>
    <n v="1259200"/>
    <x v="6"/>
  </r>
  <r>
    <x v="6"/>
    <s v="Middle Africa"/>
    <s v="Chad"/>
    <x v="3"/>
    <n v="52"/>
    <x v="194"/>
    <n v="15.60421"/>
    <n v="11.24"/>
    <n v="1259200"/>
    <x v="313"/>
  </r>
  <r>
    <x v="6"/>
    <s v="Middle Africa"/>
    <s v="Chad"/>
    <x v="4"/>
    <n v="52.33"/>
    <x v="195"/>
    <n v="16.126866"/>
    <n v="11.31"/>
    <n v="1259200"/>
    <x v="6"/>
  </r>
  <r>
    <x v="6"/>
    <s v="Middle Africa"/>
    <s v="Chad"/>
    <x v="5"/>
    <n v="52.67"/>
    <x v="172"/>
    <n v="16.644701000000001"/>
    <n v="10.72"/>
    <n v="1259200"/>
    <x v="6"/>
  </r>
  <r>
    <x v="6"/>
    <s v="Middle Africa"/>
    <s v="Congo"/>
    <x v="0"/>
    <n v="66.33"/>
    <x v="171"/>
    <s v="NULL"/>
    <s v="NULL"/>
    <s v="NULL"/>
    <x v="6"/>
  </r>
  <r>
    <x v="6"/>
    <s v="Middle Africa"/>
    <s v="Congo"/>
    <x v="1"/>
    <n v="67.67"/>
    <x v="188"/>
    <s v="NULL"/>
    <s v="NULL"/>
    <s v="NULL"/>
    <x v="6"/>
  </r>
  <r>
    <x v="6"/>
    <s v="Middle Africa"/>
    <s v="Congo"/>
    <x v="2"/>
    <n v="68.67"/>
    <x v="194"/>
    <s v="NULL"/>
    <s v="NULL"/>
    <s v="NULL"/>
    <x v="6"/>
  </r>
  <r>
    <x v="6"/>
    <s v="Middle Africa"/>
    <s v="Congo"/>
    <x v="3"/>
    <n v="68.67"/>
    <x v="194"/>
    <s v="NULL"/>
    <s v="NULL"/>
    <s v="NULL"/>
    <x v="6"/>
  </r>
  <r>
    <x v="6"/>
    <s v="Middle Africa"/>
    <s v="Congo"/>
    <x v="4"/>
    <n v="69"/>
    <x v="194"/>
    <s v="NULL"/>
    <s v="NULL"/>
    <s v="NULL"/>
    <x v="6"/>
  </r>
  <r>
    <x v="6"/>
    <s v="Middle Africa"/>
    <s v="Congo"/>
    <x v="5"/>
    <n v="69"/>
    <x v="194"/>
    <s v="NULL"/>
    <s v="NULL"/>
    <s v="NULL"/>
    <x v="6"/>
  </r>
  <r>
    <x v="6"/>
    <s v="Middle Africa"/>
    <s v="Democratic Republic of the Congo"/>
    <x v="0"/>
    <n v="45.33"/>
    <x v="194"/>
    <s v="NULL"/>
    <s v="NULL"/>
    <s v="NULL"/>
    <x v="6"/>
  </r>
  <r>
    <x v="6"/>
    <s v="Middle Africa"/>
    <s v="Democratic Republic of the Congo"/>
    <x v="1"/>
    <n v="45.67"/>
    <x v="188"/>
    <s v="NULL"/>
    <s v="NULL"/>
    <s v="NULL"/>
    <x v="6"/>
  </r>
  <r>
    <x v="6"/>
    <s v="Middle Africa"/>
    <s v="Democratic Republic of the Congo"/>
    <x v="2"/>
    <n v="46"/>
    <x v="171"/>
    <s v="NULL"/>
    <s v="NULL"/>
    <s v="NULL"/>
    <x v="6"/>
  </r>
  <r>
    <x v="6"/>
    <s v="Middle Africa"/>
    <s v="Democratic Republic of the Congo"/>
    <x v="3"/>
    <n v="46.67"/>
    <x v="193"/>
    <s v="NULL"/>
    <s v="NULL"/>
    <s v="NULL"/>
    <x v="6"/>
  </r>
  <r>
    <x v="6"/>
    <s v="Middle Africa"/>
    <s v="Democratic Republic of the Congo"/>
    <x v="4"/>
    <n v="47"/>
    <x v="193"/>
    <s v="NULL"/>
    <s v="NULL"/>
    <s v="NULL"/>
    <x v="6"/>
  </r>
  <r>
    <x v="6"/>
    <s v="Middle Africa"/>
    <s v="Democratic Republic of the Congo"/>
    <x v="5"/>
    <n v="47.67"/>
    <x v="191"/>
    <s v="NULL"/>
    <s v="NULL"/>
    <s v="NULL"/>
    <x v="6"/>
  </r>
  <r>
    <x v="6"/>
    <s v="Middle Africa"/>
    <s v="Equatorial Guinea"/>
    <x v="0"/>
    <n v="57.67"/>
    <x v="30"/>
    <n v="1.346973"/>
    <n v="13.19"/>
    <n v="28050"/>
    <x v="6"/>
  </r>
  <r>
    <x v="6"/>
    <s v="Middle Africa"/>
    <s v="Equatorial Guinea"/>
    <x v="1"/>
    <n v="57.67"/>
    <x v="30"/>
    <n v="1.398927"/>
    <n v="11.24"/>
    <n v="28050"/>
    <x v="6"/>
  </r>
  <r>
    <x v="6"/>
    <s v="Middle Africa"/>
    <s v="Equatorial Guinea"/>
    <x v="2"/>
    <n v="58"/>
    <x v="30"/>
    <n v="1.4506939999999999"/>
    <n v="12.2"/>
    <n v="28050"/>
    <x v="6"/>
  </r>
  <r>
    <x v="6"/>
    <s v="Middle Africa"/>
    <s v="Gabon"/>
    <x v="0"/>
    <n v="72"/>
    <x v="196"/>
    <n v="2.0285169999999999"/>
    <n v="14.38"/>
    <n v="257670"/>
    <x v="6"/>
  </r>
  <r>
    <x v="6"/>
    <s v="Middle Africa"/>
    <s v="Gabon"/>
    <x v="1"/>
    <n v="72.33"/>
    <x v="196"/>
    <n v="2.0862059999999998"/>
    <n v="14.02"/>
    <n v="257670"/>
    <x v="6"/>
  </r>
  <r>
    <x v="6"/>
    <s v="Middle Africa"/>
    <s v="Gabon"/>
    <x v="2"/>
    <n v="73"/>
    <x v="196"/>
    <n v="2.140215"/>
    <n v="14.93"/>
    <n v="257670"/>
    <x v="6"/>
  </r>
  <r>
    <x v="6"/>
    <s v="Middle Africa"/>
    <s v="Gabon"/>
    <x v="3"/>
    <n v="73"/>
    <x v="184"/>
    <n v="2.1920120000000001"/>
    <n v="16.87"/>
    <n v="257670"/>
    <x v="6"/>
  </r>
  <r>
    <x v="6"/>
    <s v="Middle Africa"/>
    <s v="Gabon"/>
    <x v="4"/>
    <n v="73.33"/>
    <x v="12"/>
    <n v="2.242785"/>
    <n v="16.87"/>
    <n v="257670"/>
    <x v="6"/>
  </r>
  <r>
    <x v="6"/>
    <s v="Middle Africa"/>
    <s v="Gabon"/>
    <x v="5"/>
    <n v="73.33"/>
    <x v="12"/>
    <n v="2.292573"/>
    <n v="15.31"/>
    <n v="257670"/>
    <x v="6"/>
  </r>
  <r>
    <x v="6"/>
    <s v="Middle Africa"/>
    <s v="Sao Tome and Principe"/>
    <x v="0"/>
    <n v="76"/>
    <x v="197"/>
    <n v="0.201124"/>
    <n v="0.32"/>
    <n v="960"/>
    <x v="6"/>
  </r>
  <r>
    <x v="6"/>
    <s v="Middle Africa"/>
    <s v="Sao Tome and Principe"/>
    <x v="1"/>
    <n v="76.67"/>
    <x v="129"/>
    <n v="0.20463200000000001"/>
    <n v="0.35"/>
    <n v="960"/>
    <x v="6"/>
  </r>
  <r>
    <x v="6"/>
    <s v="Middle Africa"/>
    <s v="Sao Tome and Principe"/>
    <x v="2"/>
    <n v="77"/>
    <x v="198"/>
    <n v="0.208036"/>
    <n v="0.38"/>
    <n v="960"/>
    <x v="6"/>
  </r>
  <r>
    <x v="6"/>
    <s v="Middle Africa"/>
    <s v="Sao Tome and Principe"/>
    <x v="3"/>
    <n v="77"/>
    <x v="138"/>
    <n v="0.211344"/>
    <n v="0.41"/>
    <n v="960"/>
    <x v="6"/>
  </r>
  <r>
    <x v="6"/>
    <s v="Middle Africa"/>
    <s v="Sao Tome and Principe"/>
    <x v="4"/>
    <n v="77.33"/>
    <x v="141"/>
    <n v="0.21459900000000001"/>
    <n v="0.43"/>
    <n v="960"/>
    <x v="6"/>
  </r>
  <r>
    <x v="6"/>
    <s v="Middle Africa"/>
    <s v="Sao Tome and Principe"/>
    <x v="5"/>
    <n v="77.33"/>
    <x v="199"/>
    <n v="0.218641"/>
    <n v="0.47"/>
    <n v="960"/>
    <x v="6"/>
  </r>
  <r>
    <x v="6"/>
    <s v="Southern Africa"/>
    <s v="Botswana"/>
    <x v="0"/>
    <n v="85.67"/>
    <x v="200"/>
    <n v="2.3051710000000001"/>
    <n v="13.53"/>
    <n v="566730"/>
    <x v="6"/>
  </r>
  <r>
    <x v="6"/>
    <s v="Southern Africa"/>
    <s v="Botswana"/>
    <x v="1"/>
    <n v="86.67"/>
    <x v="125"/>
    <n v="2.3524159999999998"/>
    <n v="15.08"/>
    <n v="566730"/>
    <x v="6"/>
  </r>
  <r>
    <x v="6"/>
    <s v="Southern Africa"/>
    <s v="Botswana"/>
    <x v="2"/>
    <n v="87.67"/>
    <x v="33"/>
    <n v="2.40184"/>
    <n v="16.11"/>
    <n v="566730"/>
    <x v="6"/>
  </r>
  <r>
    <x v="6"/>
    <s v="Southern Africa"/>
    <s v="Botswana"/>
    <x v="3"/>
    <n v="88.33"/>
    <x v="74"/>
    <n v="2.4514089999999999"/>
    <n v="17.03"/>
    <n v="566730"/>
    <x v="6"/>
  </r>
  <r>
    <x v="6"/>
    <s v="Southern Africa"/>
    <s v="Botswana"/>
    <x v="4"/>
    <n v="89.67"/>
    <x v="25"/>
    <n v="2.4997020000000001"/>
    <n v="16.7"/>
    <n v="566730"/>
    <x v="314"/>
  </r>
  <r>
    <x v="6"/>
    <s v="Southern Africa"/>
    <s v="Botswana"/>
    <x v="5"/>
    <n v="89.67"/>
    <x v="25"/>
    <n v="2.5464020000000001"/>
    <n v="14.93"/>
    <n v="566730"/>
    <x v="315"/>
  </r>
  <r>
    <x v="6"/>
    <s v="Southern Africa"/>
    <s v="Eswatini"/>
    <x v="0"/>
    <n v="73.33"/>
    <x v="28"/>
    <n v="1.1339360000000001"/>
    <n v="4.0599999999999996"/>
    <n v="17200"/>
    <x v="6"/>
  </r>
  <r>
    <x v="6"/>
    <s v="Southern Africa"/>
    <s v="Eswatini"/>
    <x v="1"/>
    <n v="74"/>
    <x v="41"/>
    <n v="1.1425240000000001"/>
    <n v="3.82"/>
    <n v="17200"/>
    <x v="316"/>
  </r>
  <r>
    <x v="6"/>
    <s v="Southern Africa"/>
    <s v="Eswatini"/>
    <x v="2"/>
    <n v="75"/>
    <x v="41"/>
    <n v="1.1513899999999999"/>
    <n v="4.4000000000000004"/>
    <n v="17200"/>
    <x v="6"/>
  </r>
  <r>
    <x v="6"/>
    <s v="Southern Africa"/>
    <s v="Eswatini"/>
    <x v="3"/>
    <n v="75.67"/>
    <x v="201"/>
    <n v="1.160428"/>
    <n v="4.67"/>
    <n v="17200"/>
    <x v="6"/>
  </r>
  <r>
    <x v="6"/>
    <s v="Southern Africa"/>
    <s v="Eswatini"/>
    <x v="4"/>
    <n v="76.67"/>
    <x v="202"/>
    <n v="1.169613"/>
    <n v="4.5"/>
    <n v="17200"/>
    <x v="6"/>
  </r>
  <r>
    <x v="6"/>
    <s v="Southern Africa"/>
    <s v="Eswatini"/>
    <x v="5"/>
    <n v="76.67"/>
    <x v="202"/>
    <n v="1.180655"/>
    <n v="3.98"/>
    <n v="17200"/>
    <x v="6"/>
  </r>
  <r>
    <x v="6"/>
    <s v="Southern Africa"/>
    <s v="Lesotho"/>
    <x v="0"/>
    <n v="74.67"/>
    <x v="203"/>
    <n v="2.1185209999999999"/>
    <n v="2.36"/>
    <n v="30360"/>
    <x v="6"/>
  </r>
  <r>
    <x v="6"/>
    <s v="Southern Africa"/>
    <s v="Lesotho"/>
    <x v="1"/>
    <n v="75"/>
    <x v="138"/>
    <n v="2.143872"/>
    <n v="2.11"/>
    <n v="30360"/>
    <x v="6"/>
  </r>
  <r>
    <x v="6"/>
    <s v="Southern Africa"/>
    <s v="Lesotho"/>
    <x v="2"/>
    <n v="75.33"/>
    <x v="142"/>
    <n v="2.170617"/>
    <n v="2.31"/>
    <n v="30360"/>
    <x v="6"/>
  </r>
  <r>
    <x v="6"/>
    <s v="Southern Africa"/>
    <s v="Lesotho"/>
    <x v="3"/>
    <n v="76"/>
    <x v="196"/>
    <n v="2.1980170000000001"/>
    <n v="2.5499999999999998"/>
    <n v="30360"/>
    <x v="6"/>
  </r>
  <r>
    <x v="6"/>
    <s v="Southern Africa"/>
    <s v="Lesotho"/>
    <x v="4"/>
    <n v="76"/>
    <x v="204"/>
    <n v="2.2257020000000001"/>
    <n v="2.4500000000000002"/>
    <n v="30360"/>
    <x v="317"/>
  </r>
  <r>
    <x v="6"/>
    <s v="Southern Africa"/>
    <s v="Lesotho"/>
    <x v="5"/>
    <n v="76.33"/>
    <x v="205"/>
    <n v="2.2541000000000002"/>
    <n v="2.23"/>
    <n v="30360"/>
    <x v="6"/>
  </r>
  <r>
    <x v="6"/>
    <s v="Southern Africa"/>
    <s v="Namibia"/>
    <x v="0"/>
    <n v="83.33"/>
    <x v="163"/>
    <n v="2.2827039999999998"/>
    <n v="11.34"/>
    <n v="823290"/>
    <x v="6"/>
  </r>
  <r>
    <x v="6"/>
    <s v="Southern Africa"/>
    <s v="Namibia"/>
    <x v="1"/>
    <n v="83"/>
    <x v="163"/>
    <n v="2.3233519999999999"/>
    <n v="10.72"/>
    <n v="823290"/>
    <x v="318"/>
  </r>
  <r>
    <x v="6"/>
    <s v="Southern Africa"/>
    <s v="Namibia"/>
    <x v="2"/>
    <n v="83.33"/>
    <x v="163"/>
    <n v="2.3645339999999999"/>
    <n v="12.9"/>
    <n v="823290"/>
    <x v="6"/>
  </r>
  <r>
    <x v="6"/>
    <s v="Southern Africa"/>
    <s v="Namibia"/>
    <x v="3"/>
    <n v="83.67"/>
    <x v="163"/>
    <n v="2.4056799999999998"/>
    <n v="13.68"/>
    <n v="823290"/>
    <x v="319"/>
  </r>
  <r>
    <x v="6"/>
    <s v="Southern Africa"/>
    <s v="Namibia"/>
    <x v="4"/>
    <n v="83.67"/>
    <x v="206"/>
    <n v="2.446644"/>
    <n v="12.54"/>
    <n v="823290"/>
    <x v="6"/>
  </r>
  <r>
    <x v="6"/>
    <s v="Southern Africa"/>
    <s v="Namibia"/>
    <x v="5"/>
    <n v="83.67"/>
    <x v="206"/>
    <n v="2.4890979999999998"/>
    <n v="10.58"/>
    <n v="823290"/>
    <x v="6"/>
  </r>
  <r>
    <x v="6"/>
    <s v="Southern Africa"/>
    <s v="South Africa"/>
    <x v="0"/>
    <n v="90"/>
    <x v="74"/>
    <n v="55.876503999999997"/>
    <n v="346.71"/>
    <n v="1213090"/>
    <x v="320"/>
  </r>
  <r>
    <x v="6"/>
    <s v="Southern Africa"/>
    <s v="South Africa"/>
    <x v="1"/>
    <n v="90.33"/>
    <x v="81"/>
    <n v="56.422274000000002"/>
    <n v="323.58999999999997"/>
    <n v="1213090"/>
    <x v="321"/>
  </r>
  <r>
    <x v="6"/>
    <s v="Southern Africa"/>
    <s v="South Africa"/>
    <x v="2"/>
    <n v="91"/>
    <x v="75"/>
    <n v="56.641209000000003"/>
    <n v="381.45"/>
    <n v="1213090"/>
    <x v="322"/>
  </r>
  <r>
    <x v="6"/>
    <s v="Southern Africa"/>
    <s v="South Africa"/>
    <x v="3"/>
    <n v="91.33"/>
    <x v="207"/>
    <n v="57.339635000000001"/>
    <n v="404.16"/>
    <n v="1213090"/>
    <x v="323"/>
  </r>
  <r>
    <x v="6"/>
    <s v="Southern Africa"/>
    <s v="South Africa"/>
    <x v="4"/>
    <n v="91.67"/>
    <x v="82"/>
    <n v="58.087054999999999"/>
    <n v="388.53"/>
    <n v="1213090"/>
    <x v="324"/>
  </r>
  <r>
    <x v="6"/>
    <s v="Southern Africa"/>
    <s v="South Africa"/>
    <x v="5"/>
    <n v="92"/>
    <x v="115"/>
    <n v="58.801926999999999"/>
    <n v="337.62"/>
    <n v="1213090"/>
    <x v="325"/>
  </r>
  <r>
    <x v="6"/>
    <s v="Western Africa"/>
    <s v="Benin"/>
    <x v="0"/>
    <n v="65.33"/>
    <x v="191"/>
    <n v="10.932783000000001"/>
    <n v="11.39"/>
    <n v="112760"/>
    <x v="6"/>
  </r>
  <r>
    <x v="6"/>
    <s v="Western Africa"/>
    <s v="Benin"/>
    <x v="1"/>
    <n v="65.33"/>
    <x v="170"/>
    <n v="11.260085"/>
    <n v="11.82"/>
    <n v="112760"/>
    <x v="6"/>
  </r>
  <r>
    <x v="6"/>
    <s v="Western Africa"/>
    <s v="Benin"/>
    <x v="2"/>
    <n v="65.33"/>
    <x v="190"/>
    <n v="11.596779"/>
    <n v="12.7"/>
    <n v="112760"/>
    <x v="6"/>
  </r>
  <r>
    <x v="6"/>
    <s v="Western Africa"/>
    <s v="Benin"/>
    <x v="3"/>
    <n v="65.67"/>
    <x v="193"/>
    <n v="11.940683"/>
    <n v="14.26"/>
    <n v="112760"/>
    <x v="326"/>
  </r>
  <r>
    <x v="6"/>
    <s v="Western Africa"/>
    <s v="Benin"/>
    <x v="4"/>
    <n v="65.33"/>
    <x v="171"/>
    <n v="12.290444000000001"/>
    <n v="14.39"/>
    <n v="112760"/>
    <x v="6"/>
  </r>
  <r>
    <x v="6"/>
    <s v="Western Africa"/>
    <s v="Benin"/>
    <x v="5"/>
    <n v="65.33"/>
    <x v="188"/>
    <n v="12.643122999999999"/>
    <n v="15.65"/>
    <n v="112760"/>
    <x v="6"/>
  </r>
  <r>
    <x v="6"/>
    <s v="Western Africa"/>
    <s v="Burkina Faso"/>
    <x v="0"/>
    <n v="56.33"/>
    <x v="208"/>
    <n v="18.718019000000002"/>
    <n v="11.83"/>
    <n v="273600"/>
    <x v="6"/>
  </r>
  <r>
    <x v="6"/>
    <s v="Western Africa"/>
    <s v="Burkina Faso"/>
    <x v="1"/>
    <n v="56"/>
    <x v="208"/>
    <n v="19.275497999999999"/>
    <n v="12.83"/>
    <n v="273600"/>
    <x v="6"/>
  </r>
  <r>
    <x v="6"/>
    <s v="Western Africa"/>
    <s v="Burkina Faso"/>
    <x v="2"/>
    <n v="55"/>
    <x v="209"/>
    <n v="19.835858000000002"/>
    <n v="14.11"/>
    <n v="273600"/>
    <x v="6"/>
  </r>
  <r>
    <x v="6"/>
    <s v="Western Africa"/>
    <s v="Burkina Faso"/>
    <x v="3"/>
    <n v="54.33"/>
    <x v="209"/>
    <n v="20.392723"/>
    <n v="15.89"/>
    <n v="273600"/>
    <x v="327"/>
  </r>
  <r>
    <x v="6"/>
    <s v="Western Africa"/>
    <s v="Burkina Faso"/>
    <x v="4"/>
    <n v="54"/>
    <x v="209"/>
    <n v="20.951639"/>
    <n v="16.18"/>
    <n v="273600"/>
    <x v="6"/>
  </r>
  <r>
    <x v="6"/>
    <s v="Western Africa"/>
    <s v="Burkina Faso"/>
    <x v="5"/>
    <n v="53.33"/>
    <x v="209"/>
    <n v="21.522625999999999"/>
    <n v="17.93"/>
    <n v="273600"/>
    <x v="6"/>
  </r>
  <r>
    <x v="6"/>
    <s v="Western Africa"/>
    <s v="Cabo Verde"/>
    <x v="0"/>
    <n v="83.33"/>
    <x v="47"/>
    <n v="0.55216600000000005"/>
    <n v="1.6"/>
    <n v="4030"/>
    <x v="328"/>
  </r>
  <r>
    <x v="6"/>
    <s v="Western Africa"/>
    <s v="Cabo Verde"/>
    <x v="1"/>
    <n v="84.33"/>
    <x v="200"/>
    <n v="0.55839399999999995"/>
    <n v="1.66"/>
    <n v="4030"/>
    <x v="6"/>
  </r>
  <r>
    <x v="6"/>
    <s v="Western Africa"/>
    <s v="Cabo Verde"/>
    <x v="2"/>
    <n v="85.33"/>
    <x v="33"/>
    <n v="0.56495399999999996"/>
    <n v="1.77"/>
    <n v="4030"/>
    <x v="329"/>
  </r>
  <r>
    <x v="6"/>
    <s v="Western Africa"/>
    <s v="Cabo Verde"/>
    <x v="3"/>
    <n v="86"/>
    <x v="81"/>
    <n v="0.57120199999999999"/>
    <n v="1.97"/>
    <n v="4030"/>
    <x v="330"/>
  </r>
  <r>
    <x v="6"/>
    <s v="Western Africa"/>
    <s v="Cabo Verde"/>
    <x v="4"/>
    <n v="86.67"/>
    <x v="210"/>
    <n v="0.57703000000000004"/>
    <n v="1.98"/>
    <n v="4030"/>
    <x v="331"/>
  </r>
  <r>
    <x v="6"/>
    <s v="Western Africa"/>
    <s v="Cabo Verde"/>
    <x v="5"/>
    <n v="87.33"/>
    <x v="82"/>
    <n v="0.58264000000000005"/>
    <n v="1.7"/>
    <n v="4030"/>
    <x v="6"/>
  </r>
  <r>
    <x v="6"/>
    <s v="Western Africa"/>
    <s v="CÃ´te d'Ivoire"/>
    <x v="0"/>
    <n v="71.33"/>
    <x v="211"/>
    <s v="NULL"/>
    <s v="NULL"/>
    <s v="NULL"/>
    <x v="6"/>
  </r>
  <r>
    <x v="6"/>
    <s v="Western Africa"/>
    <s v="CÃ´te d'Ivoire"/>
    <x v="1"/>
    <n v="71"/>
    <x v="212"/>
    <s v="NULL"/>
    <s v="NULL"/>
    <s v="NULL"/>
    <x v="6"/>
  </r>
  <r>
    <x v="6"/>
    <s v="Western Africa"/>
    <s v="CÃ´te d'Ivoire"/>
    <x v="2"/>
    <n v="71"/>
    <x v="181"/>
    <s v="NULL"/>
    <s v="NULL"/>
    <s v="NULL"/>
    <x v="6"/>
  </r>
  <r>
    <x v="6"/>
    <s v="Western Africa"/>
    <s v="CÃ´te d'Ivoire"/>
    <x v="3"/>
    <n v="71"/>
    <x v="157"/>
    <s v="NULL"/>
    <s v="NULL"/>
    <s v="NULL"/>
    <x v="6"/>
  </r>
  <r>
    <x v="6"/>
    <s v="Western Africa"/>
    <s v="CÃ´te d'Ivoire"/>
    <x v="4"/>
    <n v="70.67"/>
    <x v="158"/>
    <s v="NULL"/>
    <s v="NULL"/>
    <s v="NULL"/>
    <x v="6"/>
  </r>
  <r>
    <x v="6"/>
    <s v="Western Africa"/>
    <s v="CÃ´te d'Ivoire"/>
    <x v="5"/>
    <n v="70.67"/>
    <x v="163"/>
    <s v="NULL"/>
    <s v="NULL"/>
    <s v="NULL"/>
    <x v="6"/>
  </r>
  <r>
    <x v="6"/>
    <s v="Western Africa"/>
    <s v="Gambia"/>
    <x v="0"/>
    <n v="78"/>
    <x v="213"/>
    <s v="NULL"/>
    <s v="NULL"/>
    <s v="NULL"/>
    <x v="6"/>
  </r>
  <r>
    <x v="6"/>
    <s v="Western Africa"/>
    <s v="Gambia"/>
    <x v="1"/>
    <n v="78.33"/>
    <x v="213"/>
    <s v="NULL"/>
    <s v="NULL"/>
    <s v="NULL"/>
    <x v="6"/>
  </r>
  <r>
    <x v="6"/>
    <s v="Western Africa"/>
    <s v="Gambia"/>
    <x v="2"/>
    <n v="78.67"/>
    <x v="142"/>
    <s v="NULL"/>
    <s v="NULL"/>
    <s v="NULL"/>
    <x v="6"/>
  </r>
  <r>
    <x v="6"/>
    <s v="Western Africa"/>
    <s v="Gambia"/>
    <x v="3"/>
    <n v="78.67"/>
    <x v="142"/>
    <s v="NULL"/>
    <s v="NULL"/>
    <s v="NULL"/>
    <x v="6"/>
  </r>
  <r>
    <x v="6"/>
    <s v="Western Africa"/>
    <s v="Gambia"/>
    <x v="4"/>
    <n v="79.33"/>
    <x v="141"/>
    <s v="NULL"/>
    <s v="NULL"/>
    <s v="NULL"/>
    <x v="6"/>
  </r>
  <r>
    <x v="6"/>
    <s v="Western Africa"/>
    <s v="Gambia"/>
    <x v="5"/>
    <n v="79.33"/>
    <x v="141"/>
    <s v="NULL"/>
    <s v="NULL"/>
    <s v="NULL"/>
    <x v="6"/>
  </r>
  <r>
    <x v="6"/>
    <s v="Western Africa"/>
    <s v="Ghana"/>
    <x v="0"/>
    <n v="79.33"/>
    <x v="172"/>
    <n v="28.870939"/>
    <n v="49.41"/>
    <n v="227540"/>
    <x v="294"/>
  </r>
  <r>
    <x v="6"/>
    <s v="Western Africa"/>
    <s v="Ghana"/>
    <x v="1"/>
    <n v="80.33"/>
    <x v="214"/>
    <n v="29.554303000000001"/>
    <n v="56.17"/>
    <n v="227540"/>
    <x v="6"/>
  </r>
  <r>
    <x v="6"/>
    <s v="Western Africa"/>
    <s v="Ghana"/>
    <x v="2"/>
    <n v="81.33"/>
    <x v="173"/>
    <n v="30.222262000000001"/>
    <n v="60.41"/>
    <n v="227540"/>
    <x v="332"/>
  </r>
  <r>
    <x v="6"/>
    <s v="Western Africa"/>
    <s v="Ghana"/>
    <x v="3"/>
    <n v="82.67"/>
    <x v="176"/>
    <n v="30.870640999999999"/>
    <n v="67.3"/>
    <n v="227540"/>
    <x v="6"/>
  </r>
  <r>
    <x v="6"/>
    <s v="Western Africa"/>
    <s v="Ghana"/>
    <x v="4"/>
    <n v="83.67"/>
    <x v="215"/>
    <n v="31.522290000000002"/>
    <n v="68.34"/>
    <n v="227540"/>
    <x v="6"/>
  </r>
  <r>
    <x v="6"/>
    <s v="Western Africa"/>
    <s v="Ghana"/>
    <x v="5"/>
    <n v="84.67"/>
    <x v="216"/>
    <n v="32.180401000000003"/>
    <n v="70.040000000000006"/>
    <n v="227533"/>
    <x v="6"/>
  </r>
  <r>
    <x v="6"/>
    <s v="Western Africa"/>
    <s v="Guinea"/>
    <x v="0"/>
    <n v="67"/>
    <x v="217"/>
    <n v="11.625997999999999"/>
    <n v="8.7899999999999991"/>
    <n v="245720"/>
    <x v="6"/>
  </r>
  <r>
    <x v="6"/>
    <s v="Western Africa"/>
    <s v="Guinea"/>
    <x v="1"/>
    <n v="67"/>
    <x v="218"/>
    <n v="11.930985"/>
    <n v="8.6"/>
    <n v="245720"/>
    <x v="6"/>
  </r>
  <r>
    <x v="6"/>
    <s v="Western Africa"/>
    <s v="Guinea"/>
    <x v="2"/>
    <n v="67.33"/>
    <x v="135"/>
    <n v="12.240788999999999"/>
    <n v="10.32"/>
    <n v="245720"/>
    <x v="6"/>
  </r>
  <r>
    <x v="6"/>
    <s v="Western Africa"/>
    <s v="Guinea"/>
    <x v="3"/>
    <n v="67"/>
    <x v="219"/>
    <n v="12.554864"/>
    <n v="11.86"/>
    <n v="245720"/>
    <x v="6"/>
  </r>
  <r>
    <x v="6"/>
    <s v="Western Africa"/>
    <s v="Guinea"/>
    <x v="4"/>
    <n v="67"/>
    <x v="211"/>
    <n v="12.877539000000001"/>
    <n v="13.44"/>
    <n v="245720"/>
    <x v="333"/>
  </r>
  <r>
    <x v="6"/>
    <s v="Western Africa"/>
    <s v="Guinea"/>
    <x v="5"/>
    <n v="67.33"/>
    <x v="103"/>
    <n v="13.205152999999999"/>
    <n v="14.18"/>
    <n v="245720"/>
    <x v="6"/>
  </r>
  <r>
    <x v="6"/>
    <s v="Western Africa"/>
    <s v="Guinea-Bissau"/>
    <x v="0"/>
    <n v="60"/>
    <x v="170"/>
    <n v="1.7889189999999999"/>
    <n v="1.05"/>
    <n v="28120"/>
    <x v="6"/>
  </r>
  <r>
    <x v="6"/>
    <s v="Western Africa"/>
    <s v="Guinea-Bissau"/>
    <x v="1"/>
    <n v="60.33"/>
    <x v="193"/>
    <n v="1.834552"/>
    <n v="1.18"/>
    <n v="28120"/>
    <x v="6"/>
  </r>
  <r>
    <x v="6"/>
    <s v="Western Africa"/>
    <s v="Guinea-Bissau"/>
    <x v="2"/>
    <n v="60"/>
    <x v="171"/>
    <n v="1.879826"/>
    <n v="1.35"/>
    <n v="28120"/>
    <x v="6"/>
  </r>
  <r>
    <x v="6"/>
    <s v="Western Africa"/>
    <s v="Guinea-Bissau"/>
    <x v="3"/>
    <n v="60"/>
    <x v="220"/>
    <n v="1.924955"/>
    <n v="1.5"/>
    <n v="28120"/>
    <x v="334"/>
  </r>
  <r>
    <x v="6"/>
    <s v="Western Africa"/>
    <s v="Guinea-Bissau"/>
    <x v="4"/>
    <n v="60"/>
    <x v="195"/>
    <n v="1.9704569999999999"/>
    <n v="1.44"/>
    <n v="28120"/>
    <x v="6"/>
  </r>
  <r>
    <x v="6"/>
    <s v="Western Africa"/>
    <s v="Guinea-Bissau"/>
    <x v="5"/>
    <n v="60"/>
    <x v="221"/>
    <n v="2.015828"/>
    <n v="1.43"/>
    <n v="28120"/>
    <x v="6"/>
  </r>
  <r>
    <x v="6"/>
    <s v="Western Africa"/>
    <s v="Liberia"/>
    <x v="0"/>
    <n v="72.67"/>
    <x v="171"/>
    <n v="4.6123289999999999"/>
    <n v="3.23"/>
    <n v="96320"/>
    <x v="6"/>
  </r>
  <r>
    <x v="6"/>
    <s v="Western Africa"/>
    <s v="Liberia"/>
    <x v="1"/>
    <n v="73"/>
    <x v="188"/>
    <n v="4.7060969999999998"/>
    <n v="3.4"/>
    <n v="96320"/>
    <x v="335"/>
  </r>
  <r>
    <x v="6"/>
    <s v="Western Africa"/>
    <s v="Liberia"/>
    <x v="2"/>
    <n v="74"/>
    <x v="188"/>
    <n v="4.7966309999999996"/>
    <n v="3.39"/>
    <n v="96320"/>
    <x v="336"/>
  </r>
  <r>
    <x v="6"/>
    <s v="Western Africa"/>
    <s v="Liberia"/>
    <x v="3"/>
    <n v="74"/>
    <x v="194"/>
    <n v="4.8893909999999998"/>
    <n v="3.42"/>
    <n v="96320"/>
    <x v="6"/>
  </r>
  <r>
    <x v="6"/>
    <s v="Western Africa"/>
    <s v="Liberia"/>
    <x v="4"/>
    <n v="75"/>
    <x v="194"/>
    <n v="4.9852889999999999"/>
    <n v="3.32"/>
    <n v="96320"/>
    <x v="6"/>
  </r>
  <r>
    <x v="6"/>
    <s v="Western Africa"/>
    <s v="Liberia"/>
    <x v="5"/>
    <n v="75"/>
    <x v="194"/>
    <n v="5.0875839999999997"/>
    <n v="3.04"/>
    <n v="96320"/>
    <x v="6"/>
  </r>
  <r>
    <x v="6"/>
    <s v="Western Africa"/>
    <s v="Mali"/>
    <x v="0"/>
    <n v="76"/>
    <x v="127"/>
    <n v="18.112907"/>
    <n v="13.1"/>
    <n v="1220190"/>
    <x v="128"/>
  </r>
  <r>
    <x v="6"/>
    <s v="Western Africa"/>
    <s v="Mali"/>
    <x v="1"/>
    <n v="77.67"/>
    <x v="128"/>
    <n v="18.700106000000002"/>
    <n v="14.03"/>
    <n v="1220190"/>
    <x v="337"/>
  </r>
  <r>
    <x v="6"/>
    <s v="Western Africa"/>
    <s v="Mali"/>
    <x v="2"/>
    <n v="79.33"/>
    <x v="198"/>
    <n v="19.311354999999999"/>
    <n v="15.37"/>
    <n v="1220190"/>
    <x v="55"/>
  </r>
  <r>
    <x v="6"/>
    <s v="Western Africa"/>
    <s v="Mali"/>
    <x v="3"/>
    <n v="80.67"/>
    <x v="144"/>
    <n v="19.934297999999998"/>
    <n v="17.07"/>
    <n v="1220190"/>
    <x v="338"/>
  </r>
  <r>
    <x v="6"/>
    <s v="Western Africa"/>
    <s v="Mali"/>
    <x v="4"/>
    <n v="82"/>
    <x v="142"/>
    <n v="20.567423999999999"/>
    <n v="17.28"/>
    <n v="1220190"/>
    <x v="6"/>
  </r>
  <r>
    <x v="6"/>
    <s v="Western Africa"/>
    <s v="Mali"/>
    <x v="5"/>
    <n v="83.67"/>
    <x v="199"/>
    <n v="21.224039999999999"/>
    <n v="17.47"/>
    <n v="1220190"/>
    <x v="186"/>
  </r>
  <r>
    <x v="6"/>
    <s v="Western Africa"/>
    <s v="Mauritania"/>
    <x v="0"/>
    <n v="66.67"/>
    <x v="138"/>
    <n v="3.9462199999999998"/>
    <n v="6.17"/>
    <n v="1030700"/>
    <x v="6"/>
  </r>
  <r>
    <x v="6"/>
    <s v="Western Africa"/>
    <s v="Mauritania"/>
    <x v="1"/>
    <n v="68.33"/>
    <x v="146"/>
    <n v="4.0518900000000002"/>
    <n v="6.4"/>
    <n v="1030700"/>
    <x v="6"/>
  </r>
  <r>
    <x v="6"/>
    <s v="Western Africa"/>
    <s v="Mauritania"/>
    <x v="2"/>
    <n v="70"/>
    <x v="17"/>
    <n v="4.1600149999999996"/>
    <n v="6.8"/>
    <n v="1030700"/>
    <x v="339"/>
  </r>
  <r>
    <x v="6"/>
    <s v="Western Africa"/>
    <s v="Mauritania"/>
    <x v="3"/>
    <n v="70"/>
    <x v="204"/>
    <n v="4.2707119999999996"/>
    <n v="7.47"/>
    <n v="1030700"/>
    <x v="6"/>
  </r>
  <r>
    <x v="6"/>
    <s v="Western Africa"/>
    <s v="Mauritania"/>
    <x v="4"/>
    <n v="70"/>
    <x v="204"/>
    <n v="4.3838489999999997"/>
    <n v="8.07"/>
    <n v="1030700"/>
    <x v="340"/>
  </r>
  <r>
    <x v="6"/>
    <s v="Western Africa"/>
    <s v="Mauritania"/>
    <x v="5"/>
    <n v="70.33"/>
    <x v="222"/>
    <n v="4.4986040000000003"/>
    <n v="8.41"/>
    <n v="1030700"/>
    <x v="6"/>
  </r>
  <r>
    <x v="6"/>
    <s v="Western Africa"/>
    <s v="Niger"/>
    <x v="0"/>
    <n v="56.67"/>
    <x v="175"/>
    <n v="20.128124"/>
    <n v="9.68"/>
    <n v="1266700"/>
    <x v="6"/>
  </r>
  <r>
    <x v="6"/>
    <s v="Western Africa"/>
    <s v="Niger"/>
    <x v="1"/>
    <n v="57"/>
    <x v="176"/>
    <n v="20.921742999999999"/>
    <n v="10.4"/>
    <n v="1266700"/>
    <x v="6"/>
  </r>
  <r>
    <x v="6"/>
    <s v="Western Africa"/>
    <s v="Niger"/>
    <x v="2"/>
    <n v="57"/>
    <x v="174"/>
    <n v="21.737922000000001"/>
    <n v="11.19"/>
    <n v="1266700"/>
    <x v="341"/>
  </r>
  <r>
    <x v="6"/>
    <s v="Western Africa"/>
    <s v="Niger"/>
    <x v="3"/>
    <n v="57"/>
    <x v="216"/>
    <n v="22.577058000000001"/>
    <n v="12.81"/>
    <n v="1266700"/>
    <x v="6"/>
  </r>
  <r>
    <x v="6"/>
    <s v="Western Africa"/>
    <s v="Niger"/>
    <x v="4"/>
    <n v="57.33"/>
    <x v="223"/>
    <n v="23.443393"/>
    <n v="12.92"/>
    <n v="1266700"/>
    <x v="6"/>
  </r>
  <r>
    <x v="6"/>
    <s v="Western Africa"/>
    <s v="Niger"/>
    <x v="5"/>
    <n v="57.33"/>
    <x v="208"/>
    <n v="24.333639000000002"/>
    <n v="13.74"/>
    <n v="1266700"/>
    <x v="6"/>
  </r>
  <r>
    <x v="6"/>
    <s v="Western Africa"/>
    <s v="Nigeria"/>
    <x v="0"/>
    <n v="69"/>
    <x v="127"/>
    <n v="183.99578500000001"/>
    <n v="493.03"/>
    <n v="910770"/>
    <x v="148"/>
  </r>
  <r>
    <x v="6"/>
    <s v="Western Africa"/>
    <s v="Nigeria"/>
    <x v="1"/>
    <n v="71"/>
    <x v="166"/>
    <n v="188.66693100000001"/>
    <n v="404.65"/>
    <n v="910770"/>
    <x v="342"/>
  </r>
  <r>
    <x v="6"/>
    <s v="Western Africa"/>
    <s v="Nigeria"/>
    <x v="2"/>
    <n v="72.33"/>
    <x v="128"/>
    <n v="193.49590699999999"/>
    <n v="375.75"/>
    <n v="910770"/>
    <x v="343"/>
  </r>
  <r>
    <x v="6"/>
    <s v="Western Africa"/>
    <s v="Nigeria"/>
    <x v="3"/>
    <n v="74"/>
    <x v="224"/>
    <n v="198.38762299999999"/>
    <n v="421.74"/>
    <n v="910770"/>
    <x v="6"/>
  </r>
  <r>
    <x v="6"/>
    <s v="Western Africa"/>
    <s v="Nigeria"/>
    <x v="4"/>
    <n v="75.67"/>
    <x v="185"/>
    <n v="203.30449200000001"/>
    <n v="448.12"/>
    <n v="910770"/>
    <x v="344"/>
  </r>
  <r>
    <x v="6"/>
    <s v="Western Africa"/>
    <s v="Nigeria"/>
    <x v="5"/>
    <n v="77.33"/>
    <x v="138"/>
    <n v="208.327405"/>
    <n v="432.2"/>
    <n v="910770"/>
    <x v="6"/>
  </r>
  <r>
    <x v="6"/>
    <s v="Western Africa"/>
    <s v="Saint Helena"/>
    <x v="0"/>
    <n v="99"/>
    <x v="10"/>
    <s v="NULL"/>
    <s v="NULL"/>
    <s v="NULL"/>
    <x v="6"/>
  </r>
  <r>
    <x v="6"/>
    <s v="Western Africa"/>
    <s v="Saint Helena"/>
    <x v="1"/>
    <n v="99"/>
    <x v="10"/>
    <s v="NULL"/>
    <s v="NULL"/>
    <s v="NULL"/>
    <x v="6"/>
  </r>
  <r>
    <x v="6"/>
    <s v="Western Africa"/>
    <s v="Saint Helena"/>
    <x v="2"/>
    <n v="99"/>
    <x v="10"/>
    <s v="NULL"/>
    <s v="NULL"/>
    <s v="NULL"/>
    <x v="6"/>
  </r>
  <r>
    <x v="6"/>
    <s v="Western Africa"/>
    <s v="Saint Helena"/>
    <x v="3"/>
    <n v="99"/>
    <x v="10"/>
    <s v="NULL"/>
    <s v="NULL"/>
    <s v="NULL"/>
    <x v="6"/>
  </r>
  <r>
    <x v="6"/>
    <s v="Western Africa"/>
    <s v="Saint Helena"/>
    <x v="4"/>
    <n v="99"/>
    <x v="10"/>
    <s v="NULL"/>
    <s v="NULL"/>
    <s v="NULL"/>
    <x v="6"/>
  </r>
  <r>
    <x v="6"/>
    <s v="Western Africa"/>
    <s v="Saint Helena"/>
    <x v="5"/>
    <n v="99"/>
    <x v="10"/>
    <s v="NULL"/>
    <s v="NULL"/>
    <s v="NULL"/>
    <x v="6"/>
  </r>
  <r>
    <x v="6"/>
    <s v="Western Africa"/>
    <s v="Senegal"/>
    <x v="0"/>
    <n v="79.67"/>
    <x v="118"/>
    <n v="14.356180999999999"/>
    <n v="17.77"/>
    <n v="192530"/>
    <x v="345"/>
  </r>
  <r>
    <x v="6"/>
    <s v="Western Africa"/>
    <s v="Senegal"/>
    <x v="1"/>
    <n v="80.67"/>
    <x v="150"/>
    <n v="14.751355999999999"/>
    <n v="19.04"/>
    <n v="192530"/>
    <x v="346"/>
  </r>
  <r>
    <x v="6"/>
    <s v="Western Africa"/>
    <s v="Senegal"/>
    <x v="2"/>
    <n v="81.67"/>
    <x v="119"/>
    <n v="15.157793"/>
    <n v="21"/>
    <n v="192530"/>
    <x v="30"/>
  </r>
  <r>
    <x v="6"/>
    <s v="Western Africa"/>
    <s v="Senegal"/>
    <x v="3"/>
    <n v="82.67"/>
    <x v="86"/>
    <n v="15.574909"/>
    <n v="23.12"/>
    <n v="192530"/>
    <x v="29"/>
  </r>
  <r>
    <x v="6"/>
    <s v="Western Africa"/>
    <s v="Senegal"/>
    <x v="4"/>
    <n v="84"/>
    <x v="120"/>
    <n v="16.000781"/>
    <n v="23.4"/>
    <n v="192530"/>
    <x v="347"/>
  </r>
  <r>
    <x v="6"/>
    <s v="Western Africa"/>
    <s v="Senegal"/>
    <x v="5"/>
    <n v="85"/>
    <x v="134"/>
    <n v="16.436119999999999"/>
    <n v="24.49"/>
    <n v="192530"/>
    <x v="6"/>
  </r>
  <r>
    <x v="6"/>
    <s v="Western Africa"/>
    <s v="Sierra Leone"/>
    <x v="0"/>
    <n v="60"/>
    <x v="170"/>
    <n v="7.3147729999999997"/>
    <n v="4.22"/>
    <n v="72180"/>
    <x v="6"/>
  </r>
  <r>
    <x v="6"/>
    <s v="Western Africa"/>
    <s v="Sierra Leone"/>
    <x v="1"/>
    <n v="60.67"/>
    <x v="193"/>
    <n v="7.493913"/>
    <n v="3.67"/>
    <n v="72180"/>
    <x v="6"/>
  </r>
  <r>
    <x v="6"/>
    <s v="Western Africa"/>
    <s v="Sierra Leone"/>
    <x v="2"/>
    <n v="61.67"/>
    <x v="189"/>
    <n v="7.6775650000000004"/>
    <n v="3.72"/>
    <n v="72180"/>
    <x v="6"/>
  </r>
  <r>
    <x v="6"/>
    <s v="Western Africa"/>
    <s v="Sierra Leone"/>
    <x v="3"/>
    <n v="62.67"/>
    <x v="189"/>
    <n v="7.861281"/>
    <n v="4.09"/>
    <n v="72180"/>
    <x v="348"/>
  </r>
  <r>
    <x v="6"/>
    <s v="Western Africa"/>
    <s v="Sierra Leone"/>
    <x v="4"/>
    <n v="64"/>
    <x v="171"/>
    <n v="8.0468279999999996"/>
    <n v="4.08"/>
    <n v="72180"/>
    <x v="6"/>
  </r>
  <r>
    <x v="6"/>
    <s v="Western Africa"/>
    <s v="Sierra Leone"/>
    <x v="5"/>
    <n v="65"/>
    <x v="188"/>
    <n v="8.2339699999999993"/>
    <n v="4.0599999999999996"/>
    <n v="72180"/>
    <x v="6"/>
  </r>
  <r>
    <x v="6"/>
    <s v="Western Africa"/>
    <s v="Togo"/>
    <x v="0"/>
    <n v="66.33"/>
    <x v="194"/>
    <n v="7.4732289999999999"/>
    <n v="4.18"/>
    <n v="54390"/>
    <x v="249"/>
  </r>
  <r>
    <x v="6"/>
    <s v="Western Africa"/>
    <s v="Togo"/>
    <x v="1"/>
    <n v="67.33"/>
    <x v="195"/>
    <n v="7.6613540000000002"/>
    <n v="6.03"/>
    <n v="54390"/>
    <x v="6"/>
  </r>
  <r>
    <x v="6"/>
    <s v="Western Africa"/>
    <s v="Togo"/>
    <x v="2"/>
    <n v="68.33"/>
    <x v="195"/>
    <n v="7.8527950000000004"/>
    <n v="6.4"/>
    <n v="54390"/>
    <x v="195"/>
  </r>
  <r>
    <x v="6"/>
    <s v="Western Africa"/>
    <s v="Togo"/>
    <x v="3"/>
    <n v="69.33"/>
    <x v="221"/>
    <n v="8.0466789999999992"/>
    <n v="7.11"/>
    <n v="54390"/>
    <x v="6"/>
  </r>
  <r>
    <x v="6"/>
    <s v="Western Africa"/>
    <s v="Togo"/>
    <x v="4"/>
    <n v="70.33"/>
    <x v="214"/>
    <n v="8.2430939999999993"/>
    <n v="7.22"/>
    <n v="54390"/>
    <x v="6"/>
  </r>
  <r>
    <x v="6"/>
    <s v="Western Africa"/>
    <s v="Togo"/>
    <x v="5"/>
    <n v="70.67"/>
    <x v="225"/>
    <n v="8.4425799999999995"/>
    <n v="7.57"/>
    <n v="54390"/>
    <x v="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AC3102-6D23-4966-BF25-80B06AD28057}" name="PivotTable3" cacheId="0" applyNumberFormats="0" applyBorderFormats="0" applyFontFormats="0" applyPatternFormats="0" applyAlignmentFormats="0" applyWidthHeightFormats="1" dataCaption="Values" grandTotalCaption="Grand Avg" updatedVersion="8" minRefreshableVersion="3" useAutoFormatting="1" itemPrintTitles="1" createdVersion="8" indent="0" outline="1" outlineData="1" multipleFieldFilters="0" chartFormat="5" rowHeaderCaption="Time Period">
  <location ref="A3:D10" firstHeaderRow="0" firstDataRow="1" firstDataCol="1"/>
  <pivotFields count="10">
    <pivotField showAll="0"/>
    <pivotField showAll="0"/>
    <pivotField showAll="0"/>
    <pivotField axis="axisRow" showAll="0">
      <items count="7">
        <item x="0"/>
        <item x="1"/>
        <item x="2"/>
        <item x="3"/>
        <item x="4"/>
        <item x="5"/>
        <item t="default"/>
      </items>
    </pivotField>
    <pivotField dataField="1" showAll="0"/>
    <pivotField dataField="1" showAll="0"/>
    <pivotField showAll="0"/>
    <pivotField showAll="0"/>
    <pivotField showAll="0"/>
    <pivotField dataField="1" showAll="0"/>
  </pivotFields>
  <rowFields count="1">
    <field x="3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Average of Pct_managed_sanitation_services" fld="5" subtotal="average" baseField="3" baseItem="0"/>
    <dataField name="Average of Pct_unemployment" fld="9" subtotal="average" baseField="3" baseItem="0"/>
    <dataField name="Average of Pct_managed_drinking_water_services" fld="4" subtotal="average" baseField="3" baseItem="0"/>
  </dataField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4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8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CF6D05F-1E20-46D8-B3A1-65FFEF6CC80B}" name="PivotTable2" cacheId="0" applyNumberFormats="0" applyBorderFormats="0" applyFontFormats="0" applyPatternFormats="0" applyAlignmentFormats="0" applyWidthHeightFormats="1" dataCaption="Values" grandTotalCaption="Grand Avg" updatedVersion="8" minRefreshableVersion="3" useAutoFormatting="1" itemPrintTitles="1" createdVersion="8" indent="0" outline="1" outlineData="1" multipleFieldFilters="0" chartFormat="5" rowHeaderCaption="Region">
  <location ref="A3:E11" firstHeaderRow="0" firstDataRow="1" firstDataCol="1"/>
  <pivotFields count="10">
    <pivotField axis="axisRow"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/>
    <pivotField showAll="0"/>
    <pivotField showAll="0"/>
    <pivotField dataField="1" showAll="0"/>
    <pivotField dataField="1" showAll="0">
      <items count="227">
        <item x="153"/>
        <item x="154"/>
        <item x="155"/>
        <item x="156"/>
        <item x="159"/>
        <item x="160"/>
        <item x="161"/>
        <item x="152"/>
        <item x="192"/>
        <item x="191"/>
        <item x="170"/>
        <item x="190"/>
        <item x="193"/>
        <item x="189"/>
        <item x="171"/>
        <item x="188"/>
        <item x="194"/>
        <item x="220"/>
        <item x="195"/>
        <item x="172"/>
        <item x="221"/>
        <item x="214"/>
        <item x="225"/>
        <item x="173"/>
        <item x="175"/>
        <item x="176"/>
        <item x="174"/>
        <item x="215"/>
        <item x="216"/>
        <item x="223"/>
        <item x="208"/>
        <item x="209"/>
        <item x="217"/>
        <item x="218"/>
        <item x="137"/>
        <item x="136"/>
        <item x="135"/>
        <item x="162"/>
        <item x="177"/>
        <item x="219"/>
        <item x="211"/>
        <item x="178"/>
        <item x="212"/>
        <item x="180"/>
        <item x="181"/>
        <item x="103"/>
        <item x="182"/>
        <item x="157"/>
        <item x="104"/>
        <item x="158"/>
        <item x="179"/>
        <item x="105"/>
        <item x="163"/>
        <item x="206"/>
        <item x="106"/>
        <item x="164"/>
        <item x="107"/>
        <item x="168"/>
        <item x="183"/>
        <item x="165"/>
        <item x="149"/>
        <item x="169"/>
        <item x="127"/>
        <item x="197"/>
        <item x="166"/>
        <item x="128"/>
        <item x="129"/>
        <item x="203"/>
        <item x="224"/>
        <item x="198"/>
        <item x="185"/>
        <item x="186"/>
        <item x="187"/>
        <item x="138"/>
        <item x="144"/>
        <item x="139"/>
        <item x="145"/>
        <item x="140"/>
        <item x="141"/>
        <item x="142"/>
        <item x="213"/>
        <item x="146"/>
        <item x="11"/>
        <item x="199"/>
        <item x="196"/>
        <item x="184"/>
        <item x="12"/>
        <item x="17"/>
        <item x="204"/>
        <item x="222"/>
        <item x="18"/>
        <item x="13"/>
        <item x="205"/>
        <item x="19"/>
        <item x="14"/>
        <item x="20"/>
        <item x="15"/>
        <item x="21"/>
        <item x="118"/>
        <item x="150"/>
        <item x="16"/>
        <item x="119"/>
        <item x="151"/>
        <item x="85"/>
        <item x="86"/>
        <item x="143"/>
        <item x="120"/>
        <item x="133"/>
        <item x="134"/>
        <item x="87"/>
        <item x="88"/>
        <item x="61"/>
        <item x="89"/>
        <item x="28"/>
        <item x="62"/>
        <item x="41"/>
        <item x="68"/>
        <item x="201"/>
        <item x="63"/>
        <item x="202"/>
        <item x="44"/>
        <item x="29"/>
        <item x="42"/>
        <item x="45"/>
        <item x="64"/>
        <item x="167"/>
        <item x="30"/>
        <item x="65"/>
        <item x="46"/>
        <item x="69"/>
        <item x="147"/>
        <item x="43"/>
        <item x="31"/>
        <item x="113"/>
        <item x="114"/>
        <item x="70"/>
        <item x="47"/>
        <item x="32"/>
        <item x="48"/>
        <item x="200"/>
        <item x="22"/>
        <item x="116"/>
        <item x="125"/>
        <item x="23"/>
        <item x="33"/>
        <item x="79"/>
        <item x="24"/>
        <item x="74"/>
        <item x="80"/>
        <item x="25"/>
        <item x="81"/>
        <item x="26"/>
        <item x="71"/>
        <item x="75"/>
        <item x="210"/>
        <item x="27"/>
        <item x="207"/>
        <item x="117"/>
        <item x="82"/>
        <item x="72"/>
        <item x="115"/>
        <item x="121"/>
        <item x="83"/>
        <item x="112"/>
        <item x="76"/>
        <item x="56"/>
        <item x="73"/>
        <item x="57"/>
        <item x="110"/>
        <item x="58"/>
        <item x="77"/>
        <item x="100"/>
        <item x="59"/>
        <item x="90"/>
        <item x="60"/>
        <item x="53"/>
        <item x="96"/>
        <item x="101"/>
        <item x="91"/>
        <item x="126"/>
        <item x="123"/>
        <item x="54"/>
        <item x="34"/>
        <item x="108"/>
        <item x="109"/>
        <item x="35"/>
        <item x="92"/>
        <item x="36"/>
        <item x="37"/>
        <item x="38"/>
        <item x="97"/>
        <item x="93"/>
        <item x="98"/>
        <item x="99"/>
        <item x="94"/>
        <item x="55"/>
        <item x="49"/>
        <item x="102"/>
        <item x="122"/>
        <item x="50"/>
        <item x="124"/>
        <item x="132"/>
        <item x="51"/>
        <item x="130"/>
        <item x="148"/>
        <item x="52"/>
        <item x="111"/>
        <item x="131"/>
        <item x="39"/>
        <item x="4"/>
        <item x="5"/>
        <item x="6"/>
        <item x="66"/>
        <item x="7"/>
        <item x="1"/>
        <item x="84"/>
        <item x="2"/>
        <item x="3"/>
        <item x="0"/>
        <item x="40"/>
        <item x="8"/>
        <item x="95"/>
        <item x="9"/>
        <item x="78"/>
        <item x="10"/>
        <item x="67"/>
        <item t="default"/>
      </items>
    </pivotField>
    <pivotField showAll="0"/>
    <pivotField dataField="1" showAll="0"/>
    <pivotField showAll="0"/>
    <pivotField dataField="1" showAll="0">
      <items count="350">
        <item x="257"/>
        <item x="256"/>
        <item x="58"/>
        <item x="255"/>
        <item x="254"/>
        <item x="56"/>
        <item x="73"/>
        <item x="59"/>
        <item x="84"/>
        <item x="85"/>
        <item x="57"/>
        <item x="71"/>
        <item x="86"/>
        <item x="293"/>
        <item x="288"/>
        <item x="87"/>
        <item x="313"/>
        <item x="72"/>
        <item x="337"/>
        <item x="326"/>
        <item x="74"/>
        <item x="338"/>
        <item x="263"/>
        <item x="102"/>
        <item x="291"/>
        <item x="252"/>
        <item x="101"/>
        <item x="250"/>
        <item x="141"/>
        <item x="249"/>
        <item x="79"/>
        <item x="285"/>
        <item x="140"/>
        <item x="264"/>
        <item x="78"/>
        <item x="44"/>
        <item x="100"/>
        <item x="120"/>
        <item x="18"/>
        <item x="139"/>
        <item x="43"/>
        <item x="137"/>
        <item x="80"/>
        <item x="77"/>
        <item x="138"/>
        <item x="76"/>
        <item x="20"/>
        <item x="290"/>
        <item x="45"/>
        <item x="42"/>
        <item x="347"/>
        <item x="253"/>
        <item x="306"/>
        <item x="75"/>
        <item x="335"/>
        <item x="27"/>
        <item x="41"/>
        <item x="348"/>
        <item x="334"/>
        <item x="121"/>
        <item x="69"/>
        <item x="151"/>
        <item x="68"/>
        <item x="19"/>
        <item x="332"/>
        <item x="198"/>
        <item x="40"/>
        <item x="67"/>
        <item x="150"/>
        <item x="298"/>
        <item x="66"/>
        <item x="152"/>
        <item x="197"/>
        <item x="122"/>
        <item x="186"/>
        <item x="292"/>
        <item x="29"/>
        <item x="64"/>
        <item x="183"/>
        <item x="308"/>
        <item x="196"/>
        <item x="305"/>
        <item x="243"/>
        <item x="195"/>
        <item x="62"/>
        <item x="81"/>
        <item x="187"/>
        <item x="185"/>
        <item x="149"/>
        <item x="38"/>
        <item x="242"/>
        <item x="304"/>
        <item x="132"/>
        <item x="134"/>
        <item x="34"/>
        <item x="30"/>
        <item x="83"/>
        <item x="274"/>
        <item x="241"/>
        <item x="303"/>
        <item x="135"/>
        <item x="82"/>
        <item x="123"/>
        <item x="33"/>
        <item x="65"/>
        <item x="265"/>
        <item x="61"/>
        <item x="148"/>
        <item x="35"/>
        <item x="273"/>
        <item x="16"/>
        <item x="17"/>
        <item x="63"/>
        <item x="156"/>
        <item x="133"/>
        <item x="153"/>
        <item x="346"/>
        <item x="60"/>
        <item x="32"/>
        <item x="70"/>
        <item x="26"/>
        <item x="184"/>
        <item x="192"/>
        <item x="88"/>
        <item x="36"/>
        <item x="327"/>
        <item x="154"/>
        <item x="240"/>
        <item x="272"/>
        <item x="4"/>
        <item x="31"/>
        <item x="157"/>
        <item x="3"/>
        <item x="46"/>
        <item x="5"/>
        <item x="2"/>
        <item x="0"/>
        <item x="223"/>
        <item x="1"/>
        <item x="113"/>
        <item x="222"/>
        <item x="136"/>
        <item x="333"/>
        <item x="21"/>
        <item x="8"/>
        <item x="9"/>
        <item x="239"/>
        <item x="155"/>
        <item x="191"/>
        <item x="13"/>
        <item x="269"/>
        <item x="159"/>
        <item x="37"/>
        <item x="49"/>
        <item x="280"/>
        <item x="271"/>
        <item x="279"/>
        <item x="158"/>
        <item x="112"/>
        <item x="144"/>
        <item x="310"/>
        <item x="146"/>
        <item x="268"/>
        <item x="258"/>
        <item x="39"/>
        <item x="145"/>
        <item x="261"/>
        <item x="92"/>
        <item x="267"/>
        <item x="25"/>
        <item x="10"/>
        <item x="105"/>
        <item x="259"/>
        <item x="336"/>
        <item x="260"/>
        <item x="266"/>
        <item x="188"/>
        <item x="107"/>
        <item x="142"/>
        <item x="106"/>
        <item x="193"/>
        <item x="297"/>
        <item x="91"/>
        <item x="48"/>
        <item x="160"/>
        <item x="296"/>
        <item x="270"/>
        <item x="172"/>
        <item x="114"/>
        <item x="23"/>
        <item x="51"/>
        <item x="54"/>
        <item x="143"/>
        <item x="295"/>
        <item x="345"/>
        <item x="294"/>
        <item x="7"/>
        <item x="89"/>
        <item x="173"/>
        <item x="90"/>
        <item x="342"/>
        <item x="229"/>
        <item x="224"/>
        <item x="199"/>
        <item x="174"/>
        <item x="200"/>
        <item x="47"/>
        <item x="175"/>
        <item x="104"/>
        <item x="311"/>
        <item x="111"/>
        <item x="55"/>
        <item x="202"/>
        <item x="194"/>
        <item x="124"/>
        <item x="103"/>
        <item x="22"/>
        <item x="262"/>
        <item x="128"/>
        <item x="230"/>
        <item x="341"/>
        <item x="203"/>
        <item x="24"/>
        <item x="204"/>
        <item x="201"/>
        <item x="127"/>
        <item x="96"/>
        <item x="119"/>
        <item x="98"/>
        <item x="205"/>
        <item x="162"/>
        <item x="343"/>
        <item x="99"/>
        <item x="126"/>
        <item x="286"/>
        <item x="228"/>
        <item x="309"/>
        <item x="166"/>
        <item x="282"/>
        <item x="177"/>
        <item x="97"/>
        <item x="110"/>
        <item x="53"/>
        <item x="206"/>
        <item x="178"/>
        <item x="12"/>
        <item x="129"/>
        <item x="125"/>
        <item x="179"/>
        <item x="94"/>
        <item x="118"/>
        <item x="163"/>
        <item x="50"/>
        <item x="210"/>
        <item x="52"/>
        <item x="281"/>
        <item x="11"/>
        <item x="180"/>
        <item x="284"/>
        <item x="93"/>
        <item x="95"/>
        <item x="164"/>
        <item x="209"/>
        <item x="181"/>
        <item x="207"/>
        <item x="339"/>
        <item x="340"/>
        <item x="28"/>
        <item x="147"/>
        <item x="344"/>
        <item x="300"/>
        <item x="117"/>
        <item x="130"/>
        <item x="237"/>
        <item x="277"/>
        <item x="176"/>
        <item x="283"/>
        <item x="227"/>
        <item x="14"/>
        <item x="208"/>
        <item x="301"/>
        <item x="331"/>
        <item x="251"/>
        <item x="165"/>
        <item x="235"/>
        <item x="167"/>
        <item x="275"/>
        <item x="276"/>
        <item x="15"/>
        <item x="236"/>
        <item x="116"/>
        <item x="302"/>
        <item x="299"/>
        <item x="170"/>
        <item x="115"/>
        <item x="330"/>
        <item x="221"/>
        <item x="220"/>
        <item x="329"/>
        <item x="169"/>
        <item x="234"/>
        <item x="168"/>
        <item x="226"/>
        <item x="238"/>
        <item x="244"/>
        <item x="219"/>
        <item x="109"/>
        <item x="190"/>
        <item x="278"/>
        <item x="171"/>
        <item x="233"/>
        <item x="189"/>
        <item x="225"/>
        <item x="215"/>
        <item x="211"/>
        <item x="245"/>
        <item x="213"/>
        <item x="214"/>
        <item x="212"/>
        <item x="182"/>
        <item x="131"/>
        <item x="312"/>
        <item x="231"/>
        <item x="232"/>
        <item x="247"/>
        <item x="317"/>
        <item x="217"/>
        <item x="218"/>
        <item x="246"/>
        <item x="216"/>
        <item x="161"/>
        <item x="307"/>
        <item x="248"/>
        <item x="319"/>
        <item x="314"/>
        <item x="315"/>
        <item x="316"/>
        <item x="320"/>
        <item x="108"/>
        <item x="318"/>
        <item x="322"/>
        <item x="321"/>
        <item x="323"/>
        <item x="325"/>
        <item x="324"/>
        <item x="289"/>
        <item x="287"/>
        <item x="328"/>
        <item x="6"/>
        <item t="default"/>
      </items>
    </pivotField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Avg of Est_gdp_in_billions" fld="7" subtotal="average" baseField="0" baseItem="1"/>
    <dataField name="Avg of Pct_managed_sanitation_services" fld="5" subtotal="average" baseField="0" baseItem="0"/>
    <dataField name="Avg of Pct_unemployment" fld="9" subtotal="average" baseField="0" baseItem="0"/>
    <dataField name="Avg of Pct_managed_drinking_water_services" fld="4" subtotal="average" baseField="0" baseItem="0"/>
  </dataFields>
  <chartFormats count="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4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10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4" format="11" series="1">
      <pivotArea type="data" outline="0" fieldPosition="0">
        <references count="1">
          <reference field="429496729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A0A143-DBD3-4A96-8737-F12F5FC5EFB4}">
  <dimension ref="A1:J1055"/>
  <sheetViews>
    <sheetView topLeftCell="E1" workbookViewId="0">
      <pane ySplit="1" topLeftCell="A1033" activePane="bottomLeft" state="frozen"/>
      <selection pane="bottomLeft" activeCell="E1" activeCellId="1" sqref="H1:H1048576 E1:E1048576"/>
    </sheetView>
  </sheetViews>
  <sheetFormatPr defaultRowHeight="14.5" x14ac:dyDescent="0.35"/>
  <cols>
    <col min="1" max="1" width="27.81640625" bestFit="1" customWidth="1"/>
    <col min="2" max="2" width="22.26953125" bestFit="1" customWidth="1"/>
    <col min="3" max="3" width="32.26953125" bestFit="1" customWidth="1"/>
    <col min="4" max="4" width="10.6328125" bestFit="1" customWidth="1"/>
    <col min="5" max="5" width="32.36328125" bestFit="1" customWidth="1"/>
    <col min="6" max="6" width="28.6328125" bestFit="1" customWidth="1"/>
    <col min="7" max="7" width="22.36328125" bestFit="1" customWidth="1"/>
    <col min="8" max="8" width="16" bestFit="1" customWidth="1"/>
    <col min="9" max="9" width="10.81640625" bestFit="1" customWidth="1"/>
    <col min="10" max="10" width="16.453125" bestFit="1" customWidth="1"/>
  </cols>
  <sheetData>
    <row r="1" spans="1:10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 t="s">
        <v>162</v>
      </c>
      <c r="B2" t="s">
        <v>184</v>
      </c>
      <c r="C2" t="s">
        <v>187</v>
      </c>
      <c r="D2">
        <v>2020</v>
      </c>
      <c r="E2">
        <v>38.33</v>
      </c>
      <c r="F2">
        <v>15</v>
      </c>
      <c r="G2">
        <v>5.3430200000000001</v>
      </c>
      <c r="H2">
        <v>2.33</v>
      </c>
      <c r="I2">
        <v>622980</v>
      </c>
      <c r="J2" t="s">
        <v>14</v>
      </c>
    </row>
    <row r="3" spans="1:10" x14ac:dyDescent="0.35">
      <c r="A3" t="s">
        <v>162</v>
      </c>
      <c r="B3" t="s">
        <v>184</v>
      </c>
      <c r="C3" t="s">
        <v>187</v>
      </c>
      <c r="D3">
        <v>2019</v>
      </c>
      <c r="E3">
        <v>39.33</v>
      </c>
      <c r="F3">
        <v>15.33</v>
      </c>
      <c r="G3">
        <v>5.2093239999999996</v>
      </c>
      <c r="H3">
        <v>2.2200000000000002</v>
      </c>
      <c r="I3">
        <v>622980</v>
      </c>
      <c r="J3" t="s">
        <v>14</v>
      </c>
    </row>
    <row r="4" spans="1:10" x14ac:dyDescent="0.35">
      <c r="A4" t="s">
        <v>162</v>
      </c>
      <c r="B4" t="s">
        <v>184</v>
      </c>
      <c r="C4" t="s">
        <v>187</v>
      </c>
      <c r="D4">
        <v>2018</v>
      </c>
      <c r="E4">
        <v>40.67</v>
      </c>
      <c r="F4">
        <v>16</v>
      </c>
      <c r="G4">
        <v>5.0947800000000001</v>
      </c>
      <c r="H4">
        <v>2.2200000000000002</v>
      </c>
      <c r="I4">
        <v>622980</v>
      </c>
      <c r="J4" t="s">
        <v>14</v>
      </c>
    </row>
    <row r="5" spans="1:10" x14ac:dyDescent="0.35">
      <c r="A5" t="s">
        <v>162</v>
      </c>
      <c r="B5" t="s">
        <v>184</v>
      </c>
      <c r="C5" t="s">
        <v>187</v>
      </c>
      <c r="D5">
        <v>2017</v>
      </c>
      <c r="E5">
        <v>41.33</v>
      </c>
      <c r="F5">
        <v>16.670000000000002</v>
      </c>
      <c r="G5">
        <v>4.9967410000000001</v>
      </c>
      <c r="H5">
        <v>2.0699999999999998</v>
      </c>
      <c r="I5">
        <v>622980</v>
      </c>
      <c r="J5" t="s">
        <v>14</v>
      </c>
    </row>
    <row r="6" spans="1:10" x14ac:dyDescent="0.35">
      <c r="A6" t="s">
        <v>162</v>
      </c>
      <c r="B6" t="s">
        <v>184</v>
      </c>
      <c r="C6" t="s">
        <v>187</v>
      </c>
      <c r="D6">
        <v>2016</v>
      </c>
      <c r="E6">
        <v>42.67</v>
      </c>
      <c r="F6">
        <v>17</v>
      </c>
      <c r="G6">
        <v>4.9041769999999998</v>
      </c>
      <c r="H6">
        <v>1.83</v>
      </c>
      <c r="I6">
        <v>622980</v>
      </c>
      <c r="J6" t="s">
        <v>14</v>
      </c>
    </row>
    <row r="7" spans="1:10" x14ac:dyDescent="0.35">
      <c r="A7" t="s">
        <v>162</v>
      </c>
      <c r="B7" t="s">
        <v>184</v>
      </c>
      <c r="C7" t="s">
        <v>187</v>
      </c>
      <c r="D7">
        <v>2015</v>
      </c>
      <c r="E7">
        <v>44</v>
      </c>
      <c r="F7">
        <v>17.329999999999998</v>
      </c>
      <c r="G7">
        <v>4.8193330000000003</v>
      </c>
      <c r="H7">
        <v>1.7</v>
      </c>
      <c r="I7">
        <v>622980</v>
      </c>
      <c r="J7" t="s">
        <v>14</v>
      </c>
    </row>
    <row r="8" spans="1:10" x14ac:dyDescent="0.35">
      <c r="A8" t="s">
        <v>162</v>
      </c>
      <c r="B8" t="s">
        <v>184</v>
      </c>
      <c r="C8" t="s">
        <v>190</v>
      </c>
      <c r="D8">
        <v>2015</v>
      </c>
      <c r="E8">
        <v>45.33</v>
      </c>
      <c r="F8">
        <v>17.670000000000002</v>
      </c>
      <c r="G8" t="s">
        <v>14</v>
      </c>
      <c r="H8" t="s">
        <v>14</v>
      </c>
      <c r="I8" t="s">
        <v>14</v>
      </c>
      <c r="J8" t="s">
        <v>14</v>
      </c>
    </row>
    <row r="9" spans="1:10" x14ac:dyDescent="0.35">
      <c r="A9" t="s">
        <v>162</v>
      </c>
      <c r="B9" t="s">
        <v>184</v>
      </c>
      <c r="C9" t="s">
        <v>190</v>
      </c>
      <c r="D9">
        <v>2016</v>
      </c>
      <c r="E9">
        <v>45.67</v>
      </c>
      <c r="F9">
        <v>17.329999999999998</v>
      </c>
      <c r="G9" t="s">
        <v>14</v>
      </c>
      <c r="H9" t="s">
        <v>14</v>
      </c>
      <c r="I9" t="s">
        <v>14</v>
      </c>
      <c r="J9" t="s">
        <v>14</v>
      </c>
    </row>
    <row r="10" spans="1:10" x14ac:dyDescent="0.35">
      <c r="A10" t="s">
        <v>162</v>
      </c>
      <c r="B10" t="s">
        <v>184</v>
      </c>
      <c r="C10" t="s">
        <v>190</v>
      </c>
      <c r="D10">
        <v>2017</v>
      </c>
      <c r="E10">
        <v>46</v>
      </c>
      <c r="F10">
        <v>17</v>
      </c>
      <c r="G10" t="s">
        <v>14</v>
      </c>
      <c r="H10" t="s">
        <v>14</v>
      </c>
      <c r="I10" t="s">
        <v>14</v>
      </c>
      <c r="J10" t="s">
        <v>14</v>
      </c>
    </row>
    <row r="11" spans="1:10" x14ac:dyDescent="0.35">
      <c r="A11" t="s">
        <v>162</v>
      </c>
      <c r="B11" t="s">
        <v>163</v>
      </c>
      <c r="C11" t="s">
        <v>179</v>
      </c>
      <c r="D11">
        <v>2015</v>
      </c>
      <c r="E11">
        <v>46.33</v>
      </c>
      <c r="F11">
        <v>15.67</v>
      </c>
      <c r="G11">
        <v>11.194299000000001</v>
      </c>
      <c r="H11">
        <v>12</v>
      </c>
      <c r="I11">
        <v>631930</v>
      </c>
      <c r="J11" t="s">
        <v>14</v>
      </c>
    </row>
    <row r="12" spans="1:10" x14ac:dyDescent="0.35">
      <c r="A12" t="s">
        <v>162</v>
      </c>
      <c r="B12" t="s">
        <v>163</v>
      </c>
      <c r="C12" t="s">
        <v>179</v>
      </c>
      <c r="D12">
        <v>2016</v>
      </c>
      <c r="E12">
        <v>46.67</v>
      </c>
      <c r="F12">
        <v>17</v>
      </c>
      <c r="G12">
        <v>11.066105</v>
      </c>
      <c r="H12" t="s">
        <v>14</v>
      </c>
      <c r="I12">
        <v>631930</v>
      </c>
      <c r="J12" t="s">
        <v>14</v>
      </c>
    </row>
    <row r="13" spans="1:10" x14ac:dyDescent="0.35">
      <c r="A13" t="s">
        <v>162</v>
      </c>
      <c r="B13" t="s">
        <v>184</v>
      </c>
      <c r="C13" t="s">
        <v>190</v>
      </c>
      <c r="D13">
        <v>2018</v>
      </c>
      <c r="E13">
        <v>46.67</v>
      </c>
      <c r="F13">
        <v>16.329999999999998</v>
      </c>
      <c r="G13" t="s">
        <v>14</v>
      </c>
      <c r="H13" t="s">
        <v>14</v>
      </c>
      <c r="I13" t="s">
        <v>14</v>
      </c>
      <c r="J13" t="s">
        <v>14</v>
      </c>
    </row>
    <row r="14" spans="1:10" x14ac:dyDescent="0.35">
      <c r="A14" t="s">
        <v>162</v>
      </c>
      <c r="B14" t="s">
        <v>163</v>
      </c>
      <c r="C14" t="s">
        <v>179</v>
      </c>
      <c r="D14">
        <v>2017</v>
      </c>
      <c r="E14">
        <v>47</v>
      </c>
      <c r="F14">
        <v>18.670000000000002</v>
      </c>
      <c r="G14">
        <v>10.658226000000001</v>
      </c>
      <c r="H14" t="s">
        <v>14</v>
      </c>
      <c r="I14">
        <v>631930</v>
      </c>
      <c r="J14" t="s">
        <v>14</v>
      </c>
    </row>
    <row r="15" spans="1:10" x14ac:dyDescent="0.35">
      <c r="A15" t="s">
        <v>162</v>
      </c>
      <c r="B15" t="s">
        <v>184</v>
      </c>
      <c r="C15" t="s">
        <v>190</v>
      </c>
      <c r="D15">
        <v>2019</v>
      </c>
      <c r="E15">
        <v>47</v>
      </c>
      <c r="F15">
        <v>16.329999999999998</v>
      </c>
      <c r="G15" t="s">
        <v>14</v>
      </c>
      <c r="H15" t="s">
        <v>14</v>
      </c>
      <c r="I15" t="s">
        <v>14</v>
      </c>
      <c r="J15" t="s">
        <v>14</v>
      </c>
    </row>
    <row r="16" spans="1:10" x14ac:dyDescent="0.35">
      <c r="A16" t="s">
        <v>162</v>
      </c>
      <c r="B16" t="s">
        <v>163</v>
      </c>
      <c r="C16" t="s">
        <v>179</v>
      </c>
      <c r="D16">
        <v>2018</v>
      </c>
      <c r="E16">
        <v>47.67</v>
      </c>
      <c r="F16">
        <v>20.67</v>
      </c>
      <c r="G16">
        <v>10.395329</v>
      </c>
      <c r="H16" t="s">
        <v>14</v>
      </c>
      <c r="I16">
        <v>631930</v>
      </c>
      <c r="J16" t="s">
        <v>14</v>
      </c>
    </row>
    <row r="17" spans="1:10" x14ac:dyDescent="0.35">
      <c r="A17" t="s">
        <v>162</v>
      </c>
      <c r="B17" t="s">
        <v>184</v>
      </c>
      <c r="C17" t="s">
        <v>190</v>
      </c>
      <c r="D17">
        <v>2020</v>
      </c>
      <c r="E17">
        <v>47.67</v>
      </c>
      <c r="F17">
        <v>15.33</v>
      </c>
      <c r="G17" t="s">
        <v>14</v>
      </c>
      <c r="H17" t="s">
        <v>14</v>
      </c>
      <c r="I17" t="s">
        <v>14</v>
      </c>
      <c r="J17" t="s">
        <v>14</v>
      </c>
    </row>
    <row r="18" spans="1:10" x14ac:dyDescent="0.35">
      <c r="A18" t="s">
        <v>162</v>
      </c>
      <c r="B18" t="s">
        <v>163</v>
      </c>
      <c r="C18" t="s">
        <v>179</v>
      </c>
      <c r="D18">
        <v>2019</v>
      </c>
      <c r="E18">
        <v>48.33</v>
      </c>
      <c r="F18">
        <v>22.33</v>
      </c>
      <c r="G18">
        <v>10.447666</v>
      </c>
      <c r="H18" t="s">
        <v>14</v>
      </c>
      <c r="I18">
        <v>631930</v>
      </c>
      <c r="J18" t="s">
        <v>14</v>
      </c>
    </row>
    <row r="19" spans="1:10" x14ac:dyDescent="0.35">
      <c r="A19" t="s">
        <v>162</v>
      </c>
      <c r="B19" t="s">
        <v>163</v>
      </c>
      <c r="C19" t="s">
        <v>179</v>
      </c>
      <c r="D19">
        <v>2020</v>
      </c>
      <c r="E19">
        <v>48.33</v>
      </c>
      <c r="F19">
        <v>22.33</v>
      </c>
      <c r="G19">
        <v>10.606227000000001</v>
      </c>
      <c r="H19" t="s">
        <v>14</v>
      </c>
      <c r="I19">
        <v>631930</v>
      </c>
      <c r="J19" t="s">
        <v>14</v>
      </c>
    </row>
    <row r="20" spans="1:10" x14ac:dyDescent="0.35">
      <c r="A20" t="s">
        <v>162</v>
      </c>
      <c r="B20" t="s">
        <v>184</v>
      </c>
      <c r="C20" t="s">
        <v>185</v>
      </c>
      <c r="D20">
        <v>2015</v>
      </c>
      <c r="E20">
        <v>50.33</v>
      </c>
      <c r="F20">
        <v>43.33</v>
      </c>
      <c r="G20">
        <v>28.127721000000001</v>
      </c>
      <c r="H20">
        <v>87.22</v>
      </c>
      <c r="I20">
        <v>1246700</v>
      </c>
      <c r="J20" t="s">
        <v>14</v>
      </c>
    </row>
    <row r="21" spans="1:10" x14ac:dyDescent="0.35">
      <c r="A21" t="s">
        <v>162</v>
      </c>
      <c r="B21" t="s">
        <v>163</v>
      </c>
      <c r="C21" t="s">
        <v>178</v>
      </c>
      <c r="D21">
        <v>2015</v>
      </c>
      <c r="E21">
        <v>50.67</v>
      </c>
      <c r="F21">
        <v>35.67</v>
      </c>
      <c r="G21">
        <v>13.763906</v>
      </c>
      <c r="H21">
        <v>5.33</v>
      </c>
      <c r="I21">
        <v>627340</v>
      </c>
      <c r="J21" t="s">
        <v>14</v>
      </c>
    </row>
    <row r="22" spans="1:10" x14ac:dyDescent="0.35">
      <c r="A22" t="s">
        <v>162</v>
      </c>
      <c r="B22" t="s">
        <v>184</v>
      </c>
      <c r="C22" t="s">
        <v>185</v>
      </c>
      <c r="D22">
        <v>2016</v>
      </c>
      <c r="E22">
        <v>51</v>
      </c>
      <c r="F22">
        <v>44.67</v>
      </c>
      <c r="G22">
        <v>29.154745999999999</v>
      </c>
      <c r="H22">
        <v>49.84</v>
      </c>
      <c r="I22">
        <v>1246700</v>
      </c>
      <c r="J22" t="s">
        <v>14</v>
      </c>
    </row>
    <row r="23" spans="1:10" x14ac:dyDescent="0.35">
      <c r="A23" t="s">
        <v>162</v>
      </c>
      <c r="B23" t="s">
        <v>184</v>
      </c>
      <c r="C23" t="s">
        <v>185</v>
      </c>
      <c r="D23">
        <v>2017</v>
      </c>
      <c r="E23">
        <v>51.33</v>
      </c>
      <c r="F23">
        <v>45.67</v>
      </c>
      <c r="G23">
        <v>30.208628000000001</v>
      </c>
      <c r="H23">
        <v>68.97</v>
      </c>
      <c r="I23">
        <v>1246700</v>
      </c>
      <c r="J23" t="s">
        <v>14</v>
      </c>
    </row>
    <row r="24" spans="1:10" x14ac:dyDescent="0.35">
      <c r="A24" t="s">
        <v>162</v>
      </c>
      <c r="B24" t="s">
        <v>184</v>
      </c>
      <c r="C24" t="s">
        <v>188</v>
      </c>
      <c r="D24">
        <v>2015</v>
      </c>
      <c r="E24">
        <v>51.67</v>
      </c>
      <c r="F24">
        <v>16.329999999999998</v>
      </c>
      <c r="G24">
        <v>14.140274</v>
      </c>
      <c r="H24">
        <v>10.95</v>
      </c>
      <c r="I24">
        <v>1259200</v>
      </c>
      <c r="J24" t="s">
        <v>14</v>
      </c>
    </row>
    <row r="25" spans="1:10" x14ac:dyDescent="0.35">
      <c r="A25" t="s">
        <v>162</v>
      </c>
      <c r="B25" t="s">
        <v>163</v>
      </c>
      <c r="C25" t="s">
        <v>168</v>
      </c>
      <c r="D25">
        <v>2015</v>
      </c>
      <c r="E25">
        <v>52</v>
      </c>
      <c r="F25">
        <v>10.67</v>
      </c>
      <c r="G25">
        <v>102.471895</v>
      </c>
      <c r="H25">
        <v>64.59</v>
      </c>
      <c r="I25">
        <v>1128539.3500000001</v>
      </c>
      <c r="J25" t="s">
        <v>14</v>
      </c>
    </row>
    <row r="26" spans="1:10" x14ac:dyDescent="0.35">
      <c r="A26" t="s">
        <v>162</v>
      </c>
      <c r="B26" t="s">
        <v>163</v>
      </c>
      <c r="C26" t="s">
        <v>178</v>
      </c>
      <c r="D26">
        <v>2016</v>
      </c>
      <c r="E26">
        <v>52</v>
      </c>
      <c r="F26">
        <v>36.33</v>
      </c>
      <c r="G26">
        <v>14.292847</v>
      </c>
      <c r="H26">
        <v>5.53</v>
      </c>
      <c r="I26">
        <v>627340</v>
      </c>
      <c r="J26" t="s">
        <v>14</v>
      </c>
    </row>
    <row r="27" spans="1:10" x14ac:dyDescent="0.35">
      <c r="A27" t="s">
        <v>162</v>
      </c>
      <c r="B27" t="s">
        <v>184</v>
      </c>
      <c r="C27" t="s">
        <v>188</v>
      </c>
      <c r="D27">
        <v>2016</v>
      </c>
      <c r="E27">
        <v>52</v>
      </c>
      <c r="F27">
        <v>16.670000000000002</v>
      </c>
      <c r="G27">
        <v>14.592585</v>
      </c>
      <c r="H27">
        <v>10.1</v>
      </c>
      <c r="I27">
        <v>1259200</v>
      </c>
      <c r="J27" t="s">
        <v>14</v>
      </c>
    </row>
    <row r="28" spans="1:10" x14ac:dyDescent="0.35">
      <c r="A28" t="s">
        <v>162</v>
      </c>
      <c r="B28" t="s">
        <v>184</v>
      </c>
      <c r="C28" t="s">
        <v>188</v>
      </c>
      <c r="D28">
        <v>2017</v>
      </c>
      <c r="E28">
        <v>52</v>
      </c>
      <c r="F28">
        <v>17</v>
      </c>
      <c r="G28">
        <v>15.085884</v>
      </c>
      <c r="H28">
        <v>10</v>
      </c>
      <c r="I28">
        <v>1259200</v>
      </c>
      <c r="J28" t="s">
        <v>14</v>
      </c>
    </row>
    <row r="29" spans="1:10" x14ac:dyDescent="0.35">
      <c r="A29" t="s">
        <v>162</v>
      </c>
      <c r="B29" t="s">
        <v>184</v>
      </c>
      <c r="C29" t="s">
        <v>188</v>
      </c>
      <c r="D29">
        <v>2018</v>
      </c>
      <c r="E29">
        <v>52</v>
      </c>
      <c r="F29">
        <v>17.670000000000002</v>
      </c>
      <c r="G29">
        <v>15.60421</v>
      </c>
      <c r="H29">
        <v>11.24</v>
      </c>
      <c r="I29">
        <v>1259200</v>
      </c>
      <c r="J29">
        <v>1.1299999999999999</v>
      </c>
    </row>
    <row r="30" spans="1:10" x14ac:dyDescent="0.35">
      <c r="A30" t="s">
        <v>162</v>
      </c>
      <c r="B30" t="s">
        <v>184</v>
      </c>
      <c r="C30" t="s">
        <v>185</v>
      </c>
      <c r="D30">
        <v>2018</v>
      </c>
      <c r="E30">
        <v>52.33</v>
      </c>
      <c r="F30">
        <v>46.67</v>
      </c>
      <c r="G30">
        <v>31.273533</v>
      </c>
      <c r="H30">
        <v>77.790000000000006</v>
      </c>
      <c r="I30">
        <v>1246700</v>
      </c>
      <c r="J30" t="s">
        <v>14</v>
      </c>
    </row>
    <row r="31" spans="1:10" x14ac:dyDescent="0.35">
      <c r="A31" t="s">
        <v>162</v>
      </c>
      <c r="B31" t="s">
        <v>184</v>
      </c>
      <c r="C31" t="s">
        <v>185</v>
      </c>
      <c r="D31">
        <v>2019</v>
      </c>
      <c r="E31">
        <v>52.33</v>
      </c>
      <c r="F31">
        <v>46.67</v>
      </c>
      <c r="G31">
        <v>32.353588000000002</v>
      </c>
      <c r="H31">
        <v>69.31</v>
      </c>
      <c r="I31">
        <v>1246700</v>
      </c>
      <c r="J31">
        <v>16.5</v>
      </c>
    </row>
    <row r="32" spans="1:10" x14ac:dyDescent="0.35">
      <c r="A32" t="s">
        <v>162</v>
      </c>
      <c r="B32" t="s">
        <v>184</v>
      </c>
      <c r="C32" t="s">
        <v>185</v>
      </c>
      <c r="D32">
        <v>2020</v>
      </c>
      <c r="E32">
        <v>52.33</v>
      </c>
      <c r="F32">
        <v>47</v>
      </c>
      <c r="G32">
        <v>33.428485999999999</v>
      </c>
      <c r="H32">
        <v>53.62</v>
      </c>
      <c r="I32">
        <v>1246700</v>
      </c>
      <c r="J32" t="s">
        <v>14</v>
      </c>
    </row>
    <row r="33" spans="1:10" x14ac:dyDescent="0.35">
      <c r="A33" t="s">
        <v>162</v>
      </c>
      <c r="B33" t="s">
        <v>184</v>
      </c>
      <c r="C33" t="s">
        <v>188</v>
      </c>
      <c r="D33">
        <v>2019</v>
      </c>
      <c r="E33">
        <v>52.33</v>
      </c>
      <c r="F33">
        <v>18.329999999999998</v>
      </c>
      <c r="G33">
        <v>16.126866</v>
      </c>
      <c r="H33">
        <v>11.31</v>
      </c>
      <c r="I33">
        <v>1259200</v>
      </c>
      <c r="J33" t="s">
        <v>14</v>
      </c>
    </row>
    <row r="34" spans="1:10" x14ac:dyDescent="0.35">
      <c r="A34" t="s">
        <v>162</v>
      </c>
      <c r="B34" t="s">
        <v>184</v>
      </c>
      <c r="C34" t="s">
        <v>188</v>
      </c>
      <c r="D34">
        <v>2020</v>
      </c>
      <c r="E34">
        <v>52.67</v>
      </c>
      <c r="F34">
        <v>18.670000000000002</v>
      </c>
      <c r="G34">
        <v>16.644701000000001</v>
      </c>
      <c r="H34">
        <v>10.72</v>
      </c>
      <c r="I34">
        <v>1259200</v>
      </c>
      <c r="J34" t="s">
        <v>14</v>
      </c>
    </row>
    <row r="35" spans="1:10" x14ac:dyDescent="0.35">
      <c r="A35" t="s">
        <v>162</v>
      </c>
      <c r="B35" t="s">
        <v>163</v>
      </c>
      <c r="C35" t="s">
        <v>168</v>
      </c>
      <c r="D35">
        <v>2016</v>
      </c>
      <c r="E35">
        <v>53.33</v>
      </c>
      <c r="F35">
        <v>11</v>
      </c>
      <c r="G35">
        <v>105.293228</v>
      </c>
      <c r="H35">
        <v>74.3</v>
      </c>
      <c r="I35">
        <v>1128558.51</v>
      </c>
      <c r="J35" t="s">
        <v>14</v>
      </c>
    </row>
    <row r="36" spans="1:10" x14ac:dyDescent="0.35">
      <c r="A36" t="s">
        <v>162</v>
      </c>
      <c r="B36" t="s">
        <v>163</v>
      </c>
      <c r="C36" t="s">
        <v>170</v>
      </c>
      <c r="D36">
        <v>2015</v>
      </c>
      <c r="E36">
        <v>53.33</v>
      </c>
      <c r="F36">
        <v>11</v>
      </c>
      <c r="G36">
        <v>24.850912000000001</v>
      </c>
      <c r="H36">
        <v>11.32</v>
      </c>
      <c r="I36">
        <v>581800</v>
      </c>
      <c r="J36">
        <v>1.79</v>
      </c>
    </row>
    <row r="37" spans="1:10" x14ac:dyDescent="0.35">
      <c r="A37" t="s">
        <v>162</v>
      </c>
      <c r="B37" t="s">
        <v>163</v>
      </c>
      <c r="C37" t="s">
        <v>178</v>
      </c>
      <c r="D37">
        <v>2017</v>
      </c>
      <c r="E37">
        <v>53.33</v>
      </c>
      <c r="F37">
        <v>37.33</v>
      </c>
      <c r="G37">
        <v>14.864221000000001</v>
      </c>
      <c r="H37">
        <v>5.61</v>
      </c>
      <c r="I37">
        <v>627340</v>
      </c>
      <c r="J37" t="s">
        <v>14</v>
      </c>
    </row>
    <row r="38" spans="1:10" x14ac:dyDescent="0.35">
      <c r="A38" t="s">
        <v>162</v>
      </c>
      <c r="B38" t="s">
        <v>200</v>
      </c>
      <c r="C38" t="s">
        <v>202</v>
      </c>
      <c r="D38">
        <v>2020</v>
      </c>
      <c r="E38">
        <v>53.33</v>
      </c>
      <c r="F38">
        <v>25</v>
      </c>
      <c r="G38">
        <v>21.522625999999999</v>
      </c>
      <c r="H38">
        <v>17.93</v>
      </c>
      <c r="I38">
        <v>273600</v>
      </c>
      <c r="J38" t="s">
        <v>14</v>
      </c>
    </row>
    <row r="39" spans="1:10" x14ac:dyDescent="0.35">
      <c r="A39" t="s">
        <v>134</v>
      </c>
      <c r="B39" t="s">
        <v>138</v>
      </c>
      <c r="C39" t="s">
        <v>141</v>
      </c>
      <c r="D39">
        <v>2015</v>
      </c>
      <c r="E39">
        <v>53.67</v>
      </c>
      <c r="F39">
        <v>28.33</v>
      </c>
      <c r="G39">
        <v>8.6821739999999998</v>
      </c>
      <c r="H39">
        <v>21.72</v>
      </c>
      <c r="I39">
        <v>452860</v>
      </c>
      <c r="J39" t="s">
        <v>14</v>
      </c>
    </row>
    <row r="40" spans="1:10" x14ac:dyDescent="0.35">
      <c r="A40" t="s">
        <v>162</v>
      </c>
      <c r="B40" t="s">
        <v>163</v>
      </c>
      <c r="C40" t="s">
        <v>170</v>
      </c>
      <c r="D40">
        <v>2016</v>
      </c>
      <c r="E40">
        <v>54</v>
      </c>
      <c r="F40">
        <v>11.67</v>
      </c>
      <c r="G40">
        <v>25.501940999999999</v>
      </c>
      <c r="H40">
        <v>11.85</v>
      </c>
      <c r="I40">
        <v>581800</v>
      </c>
      <c r="J40" t="s">
        <v>14</v>
      </c>
    </row>
    <row r="41" spans="1:10" x14ac:dyDescent="0.35">
      <c r="A41" t="s">
        <v>162</v>
      </c>
      <c r="B41" t="s">
        <v>200</v>
      </c>
      <c r="C41" t="s">
        <v>202</v>
      </c>
      <c r="D41">
        <v>2019</v>
      </c>
      <c r="E41">
        <v>54</v>
      </c>
      <c r="F41">
        <v>25</v>
      </c>
      <c r="G41">
        <v>20.951639</v>
      </c>
      <c r="H41">
        <v>16.18</v>
      </c>
      <c r="I41">
        <v>273600</v>
      </c>
      <c r="J41" t="s">
        <v>14</v>
      </c>
    </row>
    <row r="42" spans="1:10" x14ac:dyDescent="0.35">
      <c r="A42" t="s">
        <v>134</v>
      </c>
      <c r="B42" t="s">
        <v>138</v>
      </c>
      <c r="C42" t="s">
        <v>141</v>
      </c>
      <c r="D42">
        <v>2016</v>
      </c>
      <c r="E42">
        <v>54.33</v>
      </c>
      <c r="F42">
        <v>28</v>
      </c>
      <c r="G42">
        <v>8.8991690000000006</v>
      </c>
      <c r="H42">
        <v>20.76</v>
      </c>
      <c r="I42">
        <v>452860</v>
      </c>
      <c r="J42" t="s">
        <v>14</v>
      </c>
    </row>
    <row r="43" spans="1:10" x14ac:dyDescent="0.35">
      <c r="A43" t="s">
        <v>162</v>
      </c>
      <c r="B43" t="s">
        <v>200</v>
      </c>
      <c r="C43" t="s">
        <v>202</v>
      </c>
      <c r="D43">
        <v>2018</v>
      </c>
      <c r="E43">
        <v>54.33</v>
      </c>
      <c r="F43">
        <v>25</v>
      </c>
      <c r="G43">
        <v>20.392723</v>
      </c>
      <c r="H43">
        <v>15.89</v>
      </c>
      <c r="I43">
        <v>273600</v>
      </c>
      <c r="J43">
        <v>4.6900000000000004</v>
      </c>
    </row>
    <row r="44" spans="1:10" x14ac:dyDescent="0.35">
      <c r="A44" t="s">
        <v>162</v>
      </c>
      <c r="B44" t="s">
        <v>163</v>
      </c>
      <c r="C44" t="s">
        <v>168</v>
      </c>
      <c r="D44">
        <v>2017</v>
      </c>
      <c r="E44">
        <v>54.67</v>
      </c>
      <c r="F44">
        <v>11</v>
      </c>
      <c r="G44">
        <v>108.19795000000001</v>
      </c>
      <c r="H44">
        <v>81.77</v>
      </c>
      <c r="I44">
        <v>1128552.82</v>
      </c>
      <c r="J44" t="s">
        <v>14</v>
      </c>
    </row>
    <row r="45" spans="1:10" x14ac:dyDescent="0.35">
      <c r="A45" t="s">
        <v>162</v>
      </c>
      <c r="B45" t="s">
        <v>163</v>
      </c>
      <c r="C45" t="s">
        <v>170</v>
      </c>
      <c r="D45">
        <v>2017</v>
      </c>
      <c r="E45">
        <v>54.67</v>
      </c>
      <c r="F45">
        <v>12</v>
      </c>
      <c r="G45">
        <v>26.169542</v>
      </c>
      <c r="H45">
        <v>13.18</v>
      </c>
      <c r="I45">
        <v>581800</v>
      </c>
      <c r="J45" t="s">
        <v>14</v>
      </c>
    </row>
    <row r="46" spans="1:10" x14ac:dyDescent="0.35">
      <c r="A46" t="s">
        <v>162</v>
      </c>
      <c r="B46" t="s">
        <v>163</v>
      </c>
      <c r="C46" t="s">
        <v>178</v>
      </c>
      <c r="D46">
        <v>2018</v>
      </c>
      <c r="E46">
        <v>54.67</v>
      </c>
      <c r="F46">
        <v>38</v>
      </c>
      <c r="G46">
        <v>15.411094</v>
      </c>
      <c r="H46">
        <v>5.86</v>
      </c>
      <c r="I46">
        <v>627340</v>
      </c>
      <c r="J46" t="s">
        <v>14</v>
      </c>
    </row>
    <row r="47" spans="1:10" x14ac:dyDescent="0.35">
      <c r="A47" t="s">
        <v>134</v>
      </c>
      <c r="B47" t="s">
        <v>138</v>
      </c>
      <c r="C47" t="s">
        <v>141</v>
      </c>
      <c r="D47">
        <v>2017</v>
      </c>
      <c r="E47">
        <v>55</v>
      </c>
      <c r="F47">
        <v>27.67</v>
      </c>
      <c r="G47">
        <v>9.1147960000000001</v>
      </c>
      <c r="H47">
        <v>22.74</v>
      </c>
      <c r="I47">
        <v>452860</v>
      </c>
      <c r="J47" t="s">
        <v>14</v>
      </c>
    </row>
    <row r="48" spans="1:10" x14ac:dyDescent="0.35">
      <c r="A48" t="s">
        <v>162</v>
      </c>
      <c r="B48" t="s">
        <v>163</v>
      </c>
      <c r="C48" t="s">
        <v>180</v>
      </c>
      <c r="D48">
        <v>2015</v>
      </c>
      <c r="E48">
        <v>55</v>
      </c>
      <c r="F48">
        <v>21.33</v>
      </c>
      <c r="G48">
        <v>37.477356</v>
      </c>
      <c r="H48">
        <v>32.39</v>
      </c>
      <c r="I48">
        <v>200520</v>
      </c>
      <c r="J48" t="s">
        <v>14</v>
      </c>
    </row>
    <row r="49" spans="1:10" x14ac:dyDescent="0.35">
      <c r="A49" t="s">
        <v>162</v>
      </c>
      <c r="B49" t="s">
        <v>200</v>
      </c>
      <c r="C49" t="s">
        <v>202</v>
      </c>
      <c r="D49">
        <v>2017</v>
      </c>
      <c r="E49">
        <v>55</v>
      </c>
      <c r="F49">
        <v>25</v>
      </c>
      <c r="G49">
        <v>19.835858000000002</v>
      </c>
      <c r="H49">
        <v>14.11</v>
      </c>
      <c r="I49">
        <v>273600</v>
      </c>
      <c r="J49" t="s">
        <v>14</v>
      </c>
    </row>
    <row r="50" spans="1:10" x14ac:dyDescent="0.35">
      <c r="A50" t="s">
        <v>162</v>
      </c>
      <c r="B50" t="s">
        <v>163</v>
      </c>
      <c r="C50" t="s">
        <v>170</v>
      </c>
      <c r="D50">
        <v>2018</v>
      </c>
      <c r="E50">
        <v>55.33</v>
      </c>
      <c r="F50">
        <v>12.67</v>
      </c>
      <c r="G50">
        <v>26.846540999999998</v>
      </c>
      <c r="H50">
        <v>13.76</v>
      </c>
      <c r="I50">
        <v>581800</v>
      </c>
      <c r="J50" t="s">
        <v>14</v>
      </c>
    </row>
    <row r="51" spans="1:10" x14ac:dyDescent="0.35">
      <c r="A51" t="s">
        <v>134</v>
      </c>
      <c r="B51" t="s">
        <v>138</v>
      </c>
      <c r="C51" t="s">
        <v>141</v>
      </c>
      <c r="D51">
        <v>2018</v>
      </c>
      <c r="E51">
        <v>55.67</v>
      </c>
      <c r="F51">
        <v>27.67</v>
      </c>
      <c r="G51">
        <v>9.3292269999999995</v>
      </c>
      <c r="H51">
        <v>24.11</v>
      </c>
      <c r="I51">
        <v>452860</v>
      </c>
      <c r="J51" t="s">
        <v>14</v>
      </c>
    </row>
    <row r="52" spans="1:10" x14ac:dyDescent="0.35">
      <c r="A52" t="s">
        <v>162</v>
      </c>
      <c r="B52" t="s">
        <v>163</v>
      </c>
      <c r="C52" t="s">
        <v>168</v>
      </c>
      <c r="D52">
        <v>2018</v>
      </c>
      <c r="E52">
        <v>55.67</v>
      </c>
      <c r="F52">
        <v>11.33</v>
      </c>
      <c r="G52">
        <v>111.12943799999999</v>
      </c>
      <c r="H52">
        <v>84.27</v>
      </c>
      <c r="I52">
        <v>1128561.43</v>
      </c>
      <c r="J52" t="s">
        <v>14</v>
      </c>
    </row>
    <row r="53" spans="1:10" x14ac:dyDescent="0.35">
      <c r="A53" t="s">
        <v>162</v>
      </c>
      <c r="B53" t="s">
        <v>163</v>
      </c>
      <c r="C53" t="s">
        <v>174</v>
      </c>
      <c r="D53">
        <v>2015</v>
      </c>
      <c r="E53">
        <v>55.67</v>
      </c>
      <c r="F53">
        <v>33</v>
      </c>
      <c r="G53">
        <v>26.843246000000001</v>
      </c>
      <c r="H53">
        <v>15.95</v>
      </c>
      <c r="I53">
        <v>786380</v>
      </c>
      <c r="J53">
        <v>3.43</v>
      </c>
    </row>
    <row r="54" spans="1:10" x14ac:dyDescent="0.35">
      <c r="A54" t="s">
        <v>162</v>
      </c>
      <c r="B54" t="s">
        <v>163</v>
      </c>
      <c r="C54" t="s">
        <v>180</v>
      </c>
      <c r="D54">
        <v>2016</v>
      </c>
      <c r="E54">
        <v>55.67</v>
      </c>
      <c r="F54">
        <v>21.33</v>
      </c>
      <c r="G54">
        <v>38.748299000000003</v>
      </c>
      <c r="H54">
        <v>29.2</v>
      </c>
      <c r="I54">
        <v>200520</v>
      </c>
      <c r="J54" t="s">
        <v>14</v>
      </c>
    </row>
    <row r="55" spans="1:10" x14ac:dyDescent="0.35">
      <c r="A55" t="s">
        <v>162</v>
      </c>
      <c r="B55" t="s">
        <v>163</v>
      </c>
      <c r="C55" t="s">
        <v>170</v>
      </c>
      <c r="D55">
        <v>2019</v>
      </c>
      <c r="E55">
        <v>56</v>
      </c>
      <c r="F55">
        <v>12.67</v>
      </c>
      <c r="G55">
        <v>27.533134</v>
      </c>
      <c r="H55">
        <v>14.1</v>
      </c>
      <c r="I55">
        <v>581800</v>
      </c>
      <c r="J55" t="s">
        <v>14</v>
      </c>
    </row>
    <row r="56" spans="1:10" x14ac:dyDescent="0.35">
      <c r="A56" t="s">
        <v>162</v>
      </c>
      <c r="B56" t="s">
        <v>200</v>
      </c>
      <c r="C56" t="s">
        <v>202</v>
      </c>
      <c r="D56">
        <v>2016</v>
      </c>
      <c r="E56">
        <v>56</v>
      </c>
      <c r="F56">
        <v>24.67</v>
      </c>
      <c r="G56">
        <v>19.275497999999999</v>
      </c>
      <c r="H56">
        <v>12.83</v>
      </c>
      <c r="I56">
        <v>273600</v>
      </c>
      <c r="J56" t="s">
        <v>14</v>
      </c>
    </row>
    <row r="57" spans="1:10" x14ac:dyDescent="0.35">
      <c r="A57" t="s">
        <v>134</v>
      </c>
      <c r="B57" t="s">
        <v>138</v>
      </c>
      <c r="C57" t="s">
        <v>141</v>
      </c>
      <c r="D57">
        <v>2019</v>
      </c>
      <c r="E57">
        <v>56.33</v>
      </c>
      <c r="F57">
        <v>27.67</v>
      </c>
      <c r="G57">
        <v>9.5424860000000002</v>
      </c>
      <c r="H57">
        <v>24.75</v>
      </c>
      <c r="I57">
        <v>452860</v>
      </c>
      <c r="J57" t="s">
        <v>14</v>
      </c>
    </row>
    <row r="58" spans="1:10" x14ac:dyDescent="0.35">
      <c r="A58" t="s">
        <v>162</v>
      </c>
      <c r="B58" t="s">
        <v>163</v>
      </c>
      <c r="C58" t="s">
        <v>167</v>
      </c>
      <c r="D58">
        <v>2015</v>
      </c>
      <c r="E58">
        <v>56.33</v>
      </c>
      <c r="F58">
        <v>13.33</v>
      </c>
      <c r="G58">
        <v>3.3400059999999998</v>
      </c>
      <c r="H58" t="s">
        <v>14</v>
      </c>
      <c r="I58">
        <v>121088.77</v>
      </c>
      <c r="J58" t="s">
        <v>14</v>
      </c>
    </row>
    <row r="59" spans="1:10" x14ac:dyDescent="0.35">
      <c r="A59" t="s">
        <v>162</v>
      </c>
      <c r="B59" t="s">
        <v>163</v>
      </c>
      <c r="C59" t="s">
        <v>170</v>
      </c>
      <c r="D59">
        <v>2020</v>
      </c>
      <c r="E59">
        <v>56.33</v>
      </c>
      <c r="F59">
        <v>13</v>
      </c>
      <c r="G59">
        <v>28.225176999999999</v>
      </c>
      <c r="H59">
        <v>13.05</v>
      </c>
      <c r="I59">
        <v>581800</v>
      </c>
      <c r="J59" t="s">
        <v>14</v>
      </c>
    </row>
    <row r="60" spans="1:10" x14ac:dyDescent="0.35">
      <c r="A60" t="s">
        <v>162</v>
      </c>
      <c r="B60" t="s">
        <v>163</v>
      </c>
      <c r="C60" t="s">
        <v>178</v>
      </c>
      <c r="D60">
        <v>2019</v>
      </c>
      <c r="E60">
        <v>56.33</v>
      </c>
      <c r="F60">
        <v>39.33</v>
      </c>
      <c r="G60">
        <v>15.981299999999999</v>
      </c>
      <c r="H60">
        <v>6.49</v>
      </c>
      <c r="I60">
        <v>627340</v>
      </c>
      <c r="J60">
        <v>18.829999999999998</v>
      </c>
    </row>
    <row r="61" spans="1:10" x14ac:dyDescent="0.35">
      <c r="A61" t="s">
        <v>162</v>
      </c>
      <c r="B61" t="s">
        <v>200</v>
      </c>
      <c r="C61" t="s">
        <v>202</v>
      </c>
      <c r="D61">
        <v>2015</v>
      </c>
      <c r="E61">
        <v>56.33</v>
      </c>
      <c r="F61">
        <v>24.67</v>
      </c>
      <c r="G61">
        <v>18.718019000000002</v>
      </c>
      <c r="H61">
        <v>11.83</v>
      </c>
      <c r="I61">
        <v>273600</v>
      </c>
      <c r="J61" t="s">
        <v>14</v>
      </c>
    </row>
    <row r="62" spans="1:10" x14ac:dyDescent="0.35">
      <c r="A62" t="s">
        <v>134</v>
      </c>
      <c r="B62" t="s">
        <v>138</v>
      </c>
      <c r="C62" t="s">
        <v>141</v>
      </c>
      <c r="D62">
        <v>2020</v>
      </c>
      <c r="E62">
        <v>56.67</v>
      </c>
      <c r="F62">
        <v>27.67</v>
      </c>
      <c r="G62">
        <v>9.7496399999999994</v>
      </c>
      <c r="H62">
        <v>23.85</v>
      </c>
      <c r="I62">
        <v>452860</v>
      </c>
      <c r="J62" t="s">
        <v>14</v>
      </c>
    </row>
    <row r="63" spans="1:10" x14ac:dyDescent="0.35">
      <c r="A63" t="s">
        <v>162</v>
      </c>
      <c r="B63" t="s">
        <v>163</v>
      </c>
      <c r="C63" t="s">
        <v>167</v>
      </c>
      <c r="D63">
        <v>2016</v>
      </c>
      <c r="E63">
        <v>56.67</v>
      </c>
      <c r="F63">
        <v>13.33</v>
      </c>
      <c r="G63">
        <v>3.3652869999999999</v>
      </c>
      <c r="H63" t="s">
        <v>14</v>
      </c>
      <c r="I63">
        <v>121077.46</v>
      </c>
      <c r="J63" t="s">
        <v>14</v>
      </c>
    </row>
    <row r="64" spans="1:10" x14ac:dyDescent="0.35">
      <c r="A64" t="s">
        <v>162</v>
      </c>
      <c r="B64" t="s">
        <v>200</v>
      </c>
      <c r="C64" t="s">
        <v>212</v>
      </c>
      <c r="D64">
        <v>2015</v>
      </c>
      <c r="E64">
        <v>56.67</v>
      </c>
      <c r="F64">
        <v>21.33</v>
      </c>
      <c r="G64">
        <v>20.128124</v>
      </c>
      <c r="H64">
        <v>9.68</v>
      </c>
      <c r="I64">
        <v>1266700</v>
      </c>
      <c r="J64" t="s">
        <v>14</v>
      </c>
    </row>
    <row r="65" spans="1:10" x14ac:dyDescent="0.35">
      <c r="A65" t="s">
        <v>162</v>
      </c>
      <c r="B65" t="s">
        <v>163</v>
      </c>
      <c r="C65" t="s">
        <v>168</v>
      </c>
      <c r="D65">
        <v>2019</v>
      </c>
      <c r="E65">
        <v>57</v>
      </c>
      <c r="F65">
        <v>11.67</v>
      </c>
      <c r="G65">
        <v>114.120594</v>
      </c>
      <c r="H65">
        <v>95.91</v>
      </c>
      <c r="I65">
        <v>1128570.8600000001</v>
      </c>
      <c r="J65" t="s">
        <v>14</v>
      </c>
    </row>
    <row r="66" spans="1:10" x14ac:dyDescent="0.35">
      <c r="A66" t="s">
        <v>162</v>
      </c>
      <c r="B66" t="s">
        <v>163</v>
      </c>
      <c r="C66" t="s">
        <v>180</v>
      </c>
      <c r="D66">
        <v>2017</v>
      </c>
      <c r="E66">
        <v>57</v>
      </c>
      <c r="F66">
        <v>21.33</v>
      </c>
      <c r="G66">
        <v>40.127085000000001</v>
      </c>
      <c r="H66">
        <v>30.74</v>
      </c>
      <c r="I66">
        <v>200520</v>
      </c>
      <c r="J66">
        <v>3.64</v>
      </c>
    </row>
    <row r="67" spans="1:10" x14ac:dyDescent="0.35">
      <c r="A67" t="s">
        <v>162</v>
      </c>
      <c r="B67" t="s">
        <v>200</v>
      </c>
      <c r="C67" t="s">
        <v>212</v>
      </c>
      <c r="D67">
        <v>2016</v>
      </c>
      <c r="E67">
        <v>57</v>
      </c>
      <c r="F67">
        <v>21.67</v>
      </c>
      <c r="G67">
        <v>20.921742999999999</v>
      </c>
      <c r="H67">
        <v>10.4</v>
      </c>
      <c r="I67">
        <v>1266700</v>
      </c>
      <c r="J67" t="s">
        <v>14</v>
      </c>
    </row>
    <row r="68" spans="1:10" x14ac:dyDescent="0.35">
      <c r="A68" t="s">
        <v>162</v>
      </c>
      <c r="B68" t="s">
        <v>200</v>
      </c>
      <c r="C68" t="s">
        <v>212</v>
      </c>
      <c r="D68">
        <v>2017</v>
      </c>
      <c r="E68">
        <v>57</v>
      </c>
      <c r="F68">
        <v>22.33</v>
      </c>
      <c r="G68">
        <v>21.737922000000001</v>
      </c>
      <c r="H68">
        <v>11.19</v>
      </c>
      <c r="I68">
        <v>1266700</v>
      </c>
      <c r="J68">
        <v>7.77</v>
      </c>
    </row>
    <row r="69" spans="1:10" x14ac:dyDescent="0.35">
      <c r="A69" t="s">
        <v>162</v>
      </c>
      <c r="B69" t="s">
        <v>200</v>
      </c>
      <c r="C69" t="s">
        <v>212</v>
      </c>
      <c r="D69">
        <v>2018</v>
      </c>
      <c r="E69">
        <v>57</v>
      </c>
      <c r="F69">
        <v>23</v>
      </c>
      <c r="G69">
        <v>22.577058000000001</v>
      </c>
      <c r="H69">
        <v>12.81</v>
      </c>
      <c r="I69">
        <v>1266700</v>
      </c>
      <c r="J69" t="s">
        <v>14</v>
      </c>
    </row>
    <row r="70" spans="1:10" x14ac:dyDescent="0.35">
      <c r="A70" t="s">
        <v>162</v>
      </c>
      <c r="B70" t="s">
        <v>163</v>
      </c>
      <c r="C70" t="s">
        <v>178</v>
      </c>
      <c r="D70">
        <v>2020</v>
      </c>
      <c r="E70">
        <v>57.33</v>
      </c>
      <c r="F70">
        <v>40</v>
      </c>
      <c r="G70">
        <v>16.537016000000001</v>
      </c>
      <c r="H70">
        <v>6.88</v>
      </c>
      <c r="I70">
        <v>627340</v>
      </c>
      <c r="J70" t="s">
        <v>14</v>
      </c>
    </row>
    <row r="71" spans="1:10" x14ac:dyDescent="0.35">
      <c r="A71" t="s">
        <v>162</v>
      </c>
      <c r="B71" t="s">
        <v>200</v>
      </c>
      <c r="C71" t="s">
        <v>212</v>
      </c>
      <c r="D71">
        <v>2019</v>
      </c>
      <c r="E71">
        <v>57.33</v>
      </c>
      <c r="F71">
        <v>23.67</v>
      </c>
      <c r="G71">
        <v>23.443393</v>
      </c>
      <c r="H71">
        <v>12.92</v>
      </c>
      <c r="I71">
        <v>1266700</v>
      </c>
      <c r="J71" t="s">
        <v>14</v>
      </c>
    </row>
    <row r="72" spans="1:10" x14ac:dyDescent="0.35">
      <c r="A72" t="s">
        <v>162</v>
      </c>
      <c r="B72" t="s">
        <v>200</v>
      </c>
      <c r="C72" t="s">
        <v>212</v>
      </c>
      <c r="D72">
        <v>2020</v>
      </c>
      <c r="E72">
        <v>57.33</v>
      </c>
      <c r="F72">
        <v>24.67</v>
      </c>
      <c r="G72">
        <v>24.333639000000002</v>
      </c>
      <c r="H72">
        <v>13.74</v>
      </c>
      <c r="I72">
        <v>1266700</v>
      </c>
      <c r="J72" t="s">
        <v>14</v>
      </c>
    </row>
    <row r="73" spans="1:10" x14ac:dyDescent="0.35">
      <c r="A73" t="s">
        <v>162</v>
      </c>
      <c r="B73" t="s">
        <v>184</v>
      </c>
      <c r="C73" t="s">
        <v>191</v>
      </c>
      <c r="D73">
        <v>2015</v>
      </c>
      <c r="E73">
        <v>57.67</v>
      </c>
      <c r="F73">
        <v>64.33</v>
      </c>
      <c r="G73">
        <v>1.346973</v>
      </c>
      <c r="H73">
        <v>13.19</v>
      </c>
      <c r="I73">
        <v>28050</v>
      </c>
      <c r="J73" t="s">
        <v>14</v>
      </c>
    </row>
    <row r="74" spans="1:10" x14ac:dyDescent="0.35">
      <c r="A74" t="s">
        <v>162</v>
      </c>
      <c r="B74" t="s">
        <v>184</v>
      </c>
      <c r="C74" t="s">
        <v>191</v>
      </c>
      <c r="D74">
        <v>2016</v>
      </c>
      <c r="E74">
        <v>57.67</v>
      </c>
      <c r="F74">
        <v>64.33</v>
      </c>
      <c r="G74">
        <v>1.398927</v>
      </c>
      <c r="H74">
        <v>11.24</v>
      </c>
      <c r="I74">
        <v>28050</v>
      </c>
      <c r="J74" t="s">
        <v>14</v>
      </c>
    </row>
    <row r="75" spans="1:10" x14ac:dyDescent="0.35">
      <c r="A75" t="s">
        <v>162</v>
      </c>
      <c r="B75" t="s">
        <v>163</v>
      </c>
      <c r="C75" t="s">
        <v>168</v>
      </c>
      <c r="D75">
        <v>2020</v>
      </c>
      <c r="E75">
        <v>58</v>
      </c>
      <c r="F75">
        <v>11.67</v>
      </c>
      <c r="G75">
        <v>117.190911</v>
      </c>
      <c r="H75">
        <v>107.66</v>
      </c>
      <c r="I75">
        <v>1128571.26</v>
      </c>
      <c r="J75" t="s">
        <v>14</v>
      </c>
    </row>
    <row r="76" spans="1:10" x14ac:dyDescent="0.35">
      <c r="A76" t="s">
        <v>162</v>
      </c>
      <c r="B76" t="s">
        <v>163</v>
      </c>
      <c r="C76" t="s">
        <v>174</v>
      </c>
      <c r="D76">
        <v>2016</v>
      </c>
      <c r="E76">
        <v>58</v>
      </c>
      <c r="F76">
        <v>34.67</v>
      </c>
      <c r="G76">
        <v>27.696493</v>
      </c>
      <c r="H76">
        <v>11.94</v>
      </c>
      <c r="I76">
        <v>786380</v>
      </c>
      <c r="J76" t="s">
        <v>14</v>
      </c>
    </row>
    <row r="77" spans="1:10" x14ac:dyDescent="0.35">
      <c r="A77" t="s">
        <v>162</v>
      </c>
      <c r="B77" t="s">
        <v>184</v>
      </c>
      <c r="C77" t="s">
        <v>191</v>
      </c>
      <c r="D77">
        <v>2017</v>
      </c>
      <c r="E77">
        <v>58</v>
      </c>
      <c r="F77">
        <v>64.33</v>
      </c>
      <c r="G77">
        <v>1.4506939999999999</v>
      </c>
      <c r="H77">
        <v>12.2</v>
      </c>
      <c r="I77">
        <v>28050</v>
      </c>
      <c r="J77" t="s">
        <v>14</v>
      </c>
    </row>
    <row r="78" spans="1:10" x14ac:dyDescent="0.35">
      <c r="A78" t="s">
        <v>162</v>
      </c>
      <c r="B78" t="s">
        <v>163</v>
      </c>
      <c r="C78" t="s">
        <v>181</v>
      </c>
      <c r="D78">
        <v>2015</v>
      </c>
      <c r="E78">
        <v>58.33</v>
      </c>
      <c r="F78">
        <v>28.33</v>
      </c>
      <c r="G78" t="s">
        <v>14</v>
      </c>
      <c r="H78" t="s">
        <v>14</v>
      </c>
      <c r="I78" t="s">
        <v>14</v>
      </c>
      <c r="J78" t="s">
        <v>14</v>
      </c>
    </row>
    <row r="79" spans="1:10" x14ac:dyDescent="0.35">
      <c r="A79" t="s">
        <v>162</v>
      </c>
      <c r="B79" t="s">
        <v>163</v>
      </c>
      <c r="C79" t="s">
        <v>180</v>
      </c>
      <c r="D79">
        <v>2018</v>
      </c>
      <c r="E79">
        <v>58.67</v>
      </c>
      <c r="F79">
        <v>21.67</v>
      </c>
      <c r="G79">
        <v>41.515394999999998</v>
      </c>
      <c r="H79">
        <v>32.93</v>
      </c>
      <c r="I79">
        <v>200520</v>
      </c>
      <c r="J79" t="s">
        <v>14</v>
      </c>
    </row>
    <row r="80" spans="1:10" x14ac:dyDescent="0.35">
      <c r="A80" t="s">
        <v>107</v>
      </c>
      <c r="B80" t="s">
        <v>115</v>
      </c>
      <c r="C80" t="s">
        <v>133</v>
      </c>
      <c r="D80">
        <v>2015</v>
      </c>
      <c r="E80">
        <v>59</v>
      </c>
      <c r="F80">
        <v>56.33</v>
      </c>
      <c r="G80" t="s">
        <v>14</v>
      </c>
      <c r="H80" t="s">
        <v>14</v>
      </c>
      <c r="I80" t="s">
        <v>14</v>
      </c>
      <c r="J80" t="s">
        <v>14</v>
      </c>
    </row>
    <row r="81" spans="1:10" x14ac:dyDescent="0.35">
      <c r="A81" t="s">
        <v>162</v>
      </c>
      <c r="B81" t="s">
        <v>163</v>
      </c>
      <c r="C81" t="s">
        <v>180</v>
      </c>
      <c r="D81">
        <v>2019</v>
      </c>
      <c r="E81">
        <v>59.33</v>
      </c>
      <c r="F81">
        <v>21.67</v>
      </c>
      <c r="G81">
        <v>42.949080000000002</v>
      </c>
      <c r="H81">
        <v>35.35</v>
      </c>
      <c r="I81">
        <v>200520</v>
      </c>
      <c r="J81" t="s">
        <v>14</v>
      </c>
    </row>
    <row r="82" spans="1:10" x14ac:dyDescent="0.35">
      <c r="A82" t="s">
        <v>107</v>
      </c>
      <c r="B82" t="s">
        <v>115</v>
      </c>
      <c r="C82" t="s">
        <v>133</v>
      </c>
      <c r="D82">
        <v>2016</v>
      </c>
      <c r="E82">
        <v>59.67</v>
      </c>
      <c r="F82">
        <v>56.33</v>
      </c>
      <c r="G82" t="s">
        <v>14</v>
      </c>
      <c r="H82" t="s">
        <v>14</v>
      </c>
      <c r="I82" t="s">
        <v>14</v>
      </c>
      <c r="J82" t="s">
        <v>14</v>
      </c>
    </row>
    <row r="83" spans="1:10" x14ac:dyDescent="0.35">
      <c r="A83" t="s">
        <v>162</v>
      </c>
      <c r="B83" t="s">
        <v>163</v>
      </c>
      <c r="C83" t="s">
        <v>174</v>
      </c>
      <c r="D83">
        <v>2017</v>
      </c>
      <c r="E83">
        <v>60</v>
      </c>
      <c r="F83">
        <v>35.67</v>
      </c>
      <c r="G83">
        <v>28.569441000000001</v>
      </c>
      <c r="H83">
        <v>13.22</v>
      </c>
      <c r="I83">
        <v>786380</v>
      </c>
      <c r="J83" t="s">
        <v>14</v>
      </c>
    </row>
    <row r="84" spans="1:10" x14ac:dyDescent="0.35">
      <c r="A84" t="s">
        <v>162</v>
      </c>
      <c r="B84" t="s">
        <v>163</v>
      </c>
      <c r="C84" t="s">
        <v>181</v>
      </c>
      <c r="D84">
        <v>2016</v>
      </c>
      <c r="E84">
        <v>60</v>
      </c>
      <c r="F84">
        <v>29.33</v>
      </c>
      <c r="G84" t="s">
        <v>14</v>
      </c>
      <c r="H84" t="s">
        <v>14</v>
      </c>
      <c r="I84" t="s">
        <v>14</v>
      </c>
      <c r="J84" t="s">
        <v>14</v>
      </c>
    </row>
    <row r="85" spans="1:10" x14ac:dyDescent="0.35">
      <c r="A85" t="s">
        <v>162</v>
      </c>
      <c r="B85" t="s">
        <v>200</v>
      </c>
      <c r="C85" t="s">
        <v>208</v>
      </c>
      <c r="D85">
        <v>2015</v>
      </c>
      <c r="E85">
        <v>60</v>
      </c>
      <c r="F85">
        <v>15.67</v>
      </c>
      <c r="G85">
        <v>1.7889189999999999</v>
      </c>
      <c r="H85">
        <v>1.05</v>
      </c>
      <c r="I85">
        <v>28120</v>
      </c>
      <c r="J85" t="s">
        <v>14</v>
      </c>
    </row>
    <row r="86" spans="1:10" x14ac:dyDescent="0.35">
      <c r="A86" t="s">
        <v>162</v>
      </c>
      <c r="B86" t="s">
        <v>200</v>
      </c>
      <c r="C86" t="s">
        <v>208</v>
      </c>
      <c r="D86">
        <v>2017</v>
      </c>
      <c r="E86">
        <v>60</v>
      </c>
      <c r="F86">
        <v>17</v>
      </c>
      <c r="G86">
        <v>1.879826</v>
      </c>
      <c r="H86">
        <v>1.35</v>
      </c>
      <c r="I86">
        <v>28120</v>
      </c>
      <c r="J86" t="s">
        <v>14</v>
      </c>
    </row>
    <row r="87" spans="1:10" x14ac:dyDescent="0.35">
      <c r="A87" t="s">
        <v>162</v>
      </c>
      <c r="B87" t="s">
        <v>200</v>
      </c>
      <c r="C87" t="s">
        <v>208</v>
      </c>
      <c r="D87">
        <v>2018</v>
      </c>
      <c r="E87">
        <v>60</v>
      </c>
      <c r="F87">
        <v>18</v>
      </c>
      <c r="G87">
        <v>1.924955</v>
      </c>
      <c r="H87">
        <v>1.5</v>
      </c>
      <c r="I87">
        <v>28120</v>
      </c>
      <c r="J87">
        <v>3.2</v>
      </c>
    </row>
    <row r="88" spans="1:10" x14ac:dyDescent="0.35">
      <c r="A88" t="s">
        <v>162</v>
      </c>
      <c r="B88" t="s">
        <v>200</v>
      </c>
      <c r="C88" t="s">
        <v>208</v>
      </c>
      <c r="D88">
        <v>2019</v>
      </c>
      <c r="E88">
        <v>60</v>
      </c>
      <c r="F88">
        <v>18.329999999999998</v>
      </c>
      <c r="G88">
        <v>1.9704569999999999</v>
      </c>
      <c r="H88">
        <v>1.44</v>
      </c>
      <c r="I88">
        <v>28120</v>
      </c>
      <c r="J88" t="s">
        <v>14</v>
      </c>
    </row>
    <row r="89" spans="1:10" x14ac:dyDescent="0.35">
      <c r="A89" t="s">
        <v>162</v>
      </c>
      <c r="B89" t="s">
        <v>200</v>
      </c>
      <c r="C89" t="s">
        <v>208</v>
      </c>
      <c r="D89">
        <v>2020</v>
      </c>
      <c r="E89">
        <v>60</v>
      </c>
      <c r="F89">
        <v>19.329999999999998</v>
      </c>
      <c r="G89">
        <v>2.015828</v>
      </c>
      <c r="H89">
        <v>1.43</v>
      </c>
      <c r="I89">
        <v>28120</v>
      </c>
      <c r="J89" t="s">
        <v>14</v>
      </c>
    </row>
    <row r="90" spans="1:10" x14ac:dyDescent="0.35">
      <c r="A90" t="s">
        <v>162</v>
      </c>
      <c r="B90" t="s">
        <v>200</v>
      </c>
      <c r="C90" t="s">
        <v>216</v>
      </c>
      <c r="D90">
        <v>2015</v>
      </c>
      <c r="E90">
        <v>60</v>
      </c>
      <c r="F90">
        <v>15.67</v>
      </c>
      <c r="G90">
        <v>7.3147729999999997</v>
      </c>
      <c r="H90">
        <v>4.22</v>
      </c>
      <c r="I90">
        <v>72180</v>
      </c>
      <c r="J90" t="s">
        <v>14</v>
      </c>
    </row>
    <row r="91" spans="1:10" x14ac:dyDescent="0.35">
      <c r="A91" t="s">
        <v>107</v>
      </c>
      <c r="B91" t="s">
        <v>115</v>
      </c>
      <c r="C91" t="s">
        <v>133</v>
      </c>
      <c r="D91">
        <v>2017</v>
      </c>
      <c r="E91">
        <v>60.33</v>
      </c>
      <c r="F91">
        <v>56.67</v>
      </c>
      <c r="G91" t="s">
        <v>14</v>
      </c>
      <c r="H91" t="s">
        <v>14</v>
      </c>
      <c r="I91" t="s">
        <v>14</v>
      </c>
      <c r="J91" t="s">
        <v>14</v>
      </c>
    </row>
    <row r="92" spans="1:10" x14ac:dyDescent="0.35">
      <c r="A92" t="s">
        <v>162</v>
      </c>
      <c r="B92" t="s">
        <v>200</v>
      </c>
      <c r="C92" t="s">
        <v>208</v>
      </c>
      <c r="D92">
        <v>2016</v>
      </c>
      <c r="E92">
        <v>60.33</v>
      </c>
      <c r="F92">
        <v>16.329999999999998</v>
      </c>
      <c r="G92">
        <v>1.834552</v>
      </c>
      <c r="H92">
        <v>1.18</v>
      </c>
      <c r="I92">
        <v>28120</v>
      </c>
      <c r="J92" t="s">
        <v>14</v>
      </c>
    </row>
    <row r="93" spans="1:10" x14ac:dyDescent="0.35">
      <c r="A93" t="s">
        <v>162</v>
      </c>
      <c r="B93" t="s">
        <v>200</v>
      </c>
      <c r="C93" t="s">
        <v>216</v>
      </c>
      <c r="D93">
        <v>2016</v>
      </c>
      <c r="E93">
        <v>60.67</v>
      </c>
      <c r="F93">
        <v>16.329999999999998</v>
      </c>
      <c r="G93">
        <v>7.493913</v>
      </c>
      <c r="H93">
        <v>3.67</v>
      </c>
      <c r="I93">
        <v>72180</v>
      </c>
      <c r="J93" t="s">
        <v>14</v>
      </c>
    </row>
    <row r="94" spans="1:10" x14ac:dyDescent="0.35">
      <c r="A94" t="s">
        <v>162</v>
      </c>
      <c r="B94" t="s">
        <v>163</v>
      </c>
      <c r="C94" t="s">
        <v>180</v>
      </c>
      <c r="D94">
        <v>2020</v>
      </c>
      <c r="E94">
        <v>61</v>
      </c>
      <c r="F94">
        <v>21.67</v>
      </c>
      <c r="G94">
        <v>44.404611000000003</v>
      </c>
      <c r="H94">
        <v>37.6</v>
      </c>
      <c r="I94">
        <v>200520</v>
      </c>
      <c r="J94" t="s">
        <v>14</v>
      </c>
    </row>
    <row r="95" spans="1:10" x14ac:dyDescent="0.35">
      <c r="A95" t="s">
        <v>107</v>
      </c>
      <c r="B95" t="s">
        <v>108</v>
      </c>
      <c r="C95" t="s">
        <v>113</v>
      </c>
      <c r="D95">
        <v>2015</v>
      </c>
      <c r="E95">
        <v>61.33</v>
      </c>
      <c r="F95">
        <v>38.67</v>
      </c>
      <c r="G95">
        <v>38.171177999999998</v>
      </c>
      <c r="H95">
        <v>84.99</v>
      </c>
      <c r="I95">
        <v>1868000</v>
      </c>
      <c r="J95" t="s">
        <v>14</v>
      </c>
    </row>
    <row r="96" spans="1:10" x14ac:dyDescent="0.35">
      <c r="A96" t="s">
        <v>107</v>
      </c>
      <c r="B96" t="s">
        <v>115</v>
      </c>
      <c r="C96" t="s">
        <v>133</v>
      </c>
      <c r="D96">
        <v>2018</v>
      </c>
      <c r="E96">
        <v>61.33</v>
      </c>
      <c r="F96">
        <v>56.67</v>
      </c>
      <c r="G96" t="s">
        <v>14</v>
      </c>
      <c r="H96" t="s">
        <v>14</v>
      </c>
      <c r="I96" t="s">
        <v>14</v>
      </c>
      <c r="J96" t="s">
        <v>14</v>
      </c>
    </row>
    <row r="97" spans="1:10" x14ac:dyDescent="0.35">
      <c r="A97" t="s">
        <v>162</v>
      </c>
      <c r="B97" t="s">
        <v>163</v>
      </c>
      <c r="C97" t="s">
        <v>181</v>
      </c>
      <c r="D97">
        <v>2017</v>
      </c>
      <c r="E97">
        <v>61.67</v>
      </c>
      <c r="F97">
        <v>31</v>
      </c>
      <c r="G97" t="s">
        <v>14</v>
      </c>
      <c r="H97" t="s">
        <v>14</v>
      </c>
      <c r="I97" t="s">
        <v>14</v>
      </c>
      <c r="J97" t="s">
        <v>14</v>
      </c>
    </row>
    <row r="98" spans="1:10" x14ac:dyDescent="0.35">
      <c r="A98" t="s">
        <v>162</v>
      </c>
      <c r="B98" t="s">
        <v>200</v>
      </c>
      <c r="C98" t="s">
        <v>216</v>
      </c>
      <c r="D98">
        <v>2017</v>
      </c>
      <c r="E98">
        <v>61.67</v>
      </c>
      <c r="F98">
        <v>16.670000000000002</v>
      </c>
      <c r="G98">
        <v>7.6775650000000004</v>
      </c>
      <c r="H98">
        <v>3.72</v>
      </c>
      <c r="I98">
        <v>72180</v>
      </c>
      <c r="J98" t="s">
        <v>14</v>
      </c>
    </row>
    <row r="99" spans="1:10" x14ac:dyDescent="0.35">
      <c r="A99" t="s">
        <v>107</v>
      </c>
      <c r="B99" t="s">
        <v>108</v>
      </c>
      <c r="C99" t="s">
        <v>113</v>
      </c>
      <c r="D99">
        <v>2016</v>
      </c>
      <c r="E99">
        <v>62.33</v>
      </c>
      <c r="F99">
        <v>40</v>
      </c>
      <c r="G99">
        <v>39.377169000000002</v>
      </c>
      <c r="H99">
        <v>102.94</v>
      </c>
      <c r="I99">
        <v>1868000</v>
      </c>
      <c r="J99" t="s">
        <v>14</v>
      </c>
    </row>
    <row r="100" spans="1:10" x14ac:dyDescent="0.35">
      <c r="A100" t="s">
        <v>107</v>
      </c>
      <c r="B100" t="s">
        <v>108</v>
      </c>
      <c r="C100" t="s">
        <v>113</v>
      </c>
      <c r="D100">
        <v>2017</v>
      </c>
      <c r="E100">
        <v>62.33</v>
      </c>
      <c r="F100">
        <v>40.33</v>
      </c>
      <c r="G100">
        <v>40.679828000000001</v>
      </c>
      <c r="H100">
        <v>129.72</v>
      </c>
      <c r="I100">
        <v>1868000</v>
      </c>
      <c r="J100" t="s">
        <v>14</v>
      </c>
    </row>
    <row r="101" spans="1:10" x14ac:dyDescent="0.35">
      <c r="A101" t="s">
        <v>107</v>
      </c>
      <c r="B101" t="s">
        <v>108</v>
      </c>
      <c r="C101" t="s">
        <v>113</v>
      </c>
      <c r="D101">
        <v>2018</v>
      </c>
      <c r="E101">
        <v>62.33</v>
      </c>
      <c r="F101">
        <v>40.33</v>
      </c>
      <c r="G101">
        <v>41.999059000000003</v>
      </c>
      <c r="H101">
        <v>32.33</v>
      </c>
      <c r="I101">
        <v>1868000</v>
      </c>
      <c r="J101" t="s">
        <v>14</v>
      </c>
    </row>
    <row r="102" spans="1:10" x14ac:dyDescent="0.35">
      <c r="A102" t="s">
        <v>107</v>
      </c>
      <c r="B102" t="s">
        <v>108</v>
      </c>
      <c r="C102" t="s">
        <v>113</v>
      </c>
      <c r="D102">
        <v>2019</v>
      </c>
      <c r="E102">
        <v>62.33</v>
      </c>
      <c r="F102">
        <v>40.33</v>
      </c>
      <c r="G102">
        <v>43.232092999999999</v>
      </c>
      <c r="H102">
        <v>32.340000000000003</v>
      </c>
      <c r="I102">
        <v>1868000</v>
      </c>
      <c r="J102" t="s">
        <v>14</v>
      </c>
    </row>
    <row r="103" spans="1:10" x14ac:dyDescent="0.35">
      <c r="A103" t="s">
        <v>107</v>
      </c>
      <c r="B103" t="s">
        <v>108</v>
      </c>
      <c r="C103" t="s">
        <v>113</v>
      </c>
      <c r="D103">
        <v>2020</v>
      </c>
      <c r="E103">
        <v>62.33</v>
      </c>
      <c r="F103">
        <v>40.33</v>
      </c>
      <c r="G103">
        <v>44.440486</v>
      </c>
      <c r="H103">
        <v>27.03</v>
      </c>
      <c r="I103">
        <v>1868000</v>
      </c>
      <c r="J103" t="s">
        <v>14</v>
      </c>
    </row>
    <row r="104" spans="1:10" x14ac:dyDescent="0.35">
      <c r="A104" t="s">
        <v>107</v>
      </c>
      <c r="B104" t="s">
        <v>115</v>
      </c>
      <c r="C104" t="s">
        <v>133</v>
      </c>
      <c r="D104">
        <v>2019</v>
      </c>
      <c r="E104">
        <v>62.33</v>
      </c>
      <c r="F104">
        <v>57</v>
      </c>
      <c r="G104" t="s">
        <v>14</v>
      </c>
      <c r="H104" t="s">
        <v>14</v>
      </c>
      <c r="I104" t="s">
        <v>14</v>
      </c>
      <c r="J104" t="s">
        <v>14</v>
      </c>
    </row>
    <row r="105" spans="1:10" x14ac:dyDescent="0.35">
      <c r="A105" t="s">
        <v>162</v>
      </c>
      <c r="B105" t="s">
        <v>163</v>
      </c>
      <c r="C105" t="s">
        <v>174</v>
      </c>
      <c r="D105">
        <v>2018</v>
      </c>
      <c r="E105">
        <v>62.33</v>
      </c>
      <c r="F105">
        <v>37.33</v>
      </c>
      <c r="G105">
        <v>29.423877999999998</v>
      </c>
      <c r="H105">
        <v>14.85</v>
      </c>
      <c r="I105">
        <v>786380</v>
      </c>
      <c r="J105" t="s">
        <v>14</v>
      </c>
    </row>
    <row r="106" spans="1:10" x14ac:dyDescent="0.35">
      <c r="A106" t="s">
        <v>162</v>
      </c>
      <c r="B106" t="s">
        <v>184</v>
      </c>
      <c r="C106" t="s">
        <v>186</v>
      </c>
      <c r="D106">
        <v>2015</v>
      </c>
      <c r="E106">
        <v>62.67</v>
      </c>
      <c r="F106">
        <v>41.67</v>
      </c>
      <c r="G106">
        <v>23.012646</v>
      </c>
      <c r="H106">
        <v>32.21</v>
      </c>
      <c r="I106">
        <v>472710</v>
      </c>
      <c r="J106" t="s">
        <v>14</v>
      </c>
    </row>
    <row r="107" spans="1:10" x14ac:dyDescent="0.35">
      <c r="A107" t="s">
        <v>162</v>
      </c>
      <c r="B107" t="s">
        <v>184</v>
      </c>
      <c r="C107" t="s">
        <v>186</v>
      </c>
      <c r="D107">
        <v>2016</v>
      </c>
      <c r="E107">
        <v>62.67</v>
      </c>
      <c r="F107">
        <v>41.67</v>
      </c>
      <c r="G107">
        <v>23.71163</v>
      </c>
      <c r="H107">
        <v>33.81</v>
      </c>
      <c r="I107">
        <v>472710</v>
      </c>
      <c r="J107" t="s">
        <v>14</v>
      </c>
    </row>
    <row r="108" spans="1:10" x14ac:dyDescent="0.35">
      <c r="A108" t="s">
        <v>162</v>
      </c>
      <c r="B108" t="s">
        <v>200</v>
      </c>
      <c r="C108" t="s">
        <v>216</v>
      </c>
      <c r="D108">
        <v>2018</v>
      </c>
      <c r="E108">
        <v>62.67</v>
      </c>
      <c r="F108">
        <v>16.670000000000002</v>
      </c>
      <c r="G108">
        <v>7.861281</v>
      </c>
      <c r="H108">
        <v>4.09</v>
      </c>
      <c r="I108">
        <v>72180</v>
      </c>
      <c r="J108">
        <v>3.19</v>
      </c>
    </row>
    <row r="109" spans="1:10" x14ac:dyDescent="0.35">
      <c r="A109" t="s">
        <v>107</v>
      </c>
      <c r="B109" t="s">
        <v>115</v>
      </c>
      <c r="C109" t="s">
        <v>133</v>
      </c>
      <c r="D109">
        <v>2020</v>
      </c>
      <c r="E109">
        <v>63</v>
      </c>
      <c r="F109">
        <v>57.33</v>
      </c>
      <c r="G109" t="s">
        <v>14</v>
      </c>
      <c r="H109" t="s">
        <v>14</v>
      </c>
      <c r="I109" t="s">
        <v>14</v>
      </c>
      <c r="J109" t="s">
        <v>14</v>
      </c>
    </row>
    <row r="110" spans="1:10" x14ac:dyDescent="0.35">
      <c r="A110" t="s">
        <v>162</v>
      </c>
      <c r="B110" t="s">
        <v>163</v>
      </c>
      <c r="C110" t="s">
        <v>175</v>
      </c>
      <c r="D110">
        <v>2015</v>
      </c>
      <c r="E110">
        <v>63</v>
      </c>
      <c r="F110">
        <v>61</v>
      </c>
      <c r="G110">
        <v>11.642958999999999</v>
      </c>
      <c r="H110">
        <v>8.5399999999999991</v>
      </c>
      <c r="I110">
        <v>24670</v>
      </c>
      <c r="J110" t="s">
        <v>14</v>
      </c>
    </row>
    <row r="111" spans="1:10" x14ac:dyDescent="0.35">
      <c r="A111" t="s">
        <v>162</v>
      </c>
      <c r="B111" t="s">
        <v>163</v>
      </c>
      <c r="C111" t="s">
        <v>181</v>
      </c>
      <c r="D111">
        <v>2018</v>
      </c>
      <c r="E111">
        <v>63.33</v>
      </c>
      <c r="F111">
        <v>32.33</v>
      </c>
      <c r="G111" t="s">
        <v>14</v>
      </c>
      <c r="H111" t="s">
        <v>14</v>
      </c>
      <c r="I111" t="s">
        <v>14</v>
      </c>
      <c r="J111" t="s">
        <v>14</v>
      </c>
    </row>
    <row r="112" spans="1:10" x14ac:dyDescent="0.35">
      <c r="A112" t="s">
        <v>162</v>
      </c>
      <c r="B112" t="s">
        <v>184</v>
      </c>
      <c r="C112" t="s">
        <v>186</v>
      </c>
      <c r="D112">
        <v>2017</v>
      </c>
      <c r="E112">
        <v>63.33</v>
      </c>
      <c r="F112">
        <v>42</v>
      </c>
      <c r="G112">
        <v>24.393180999999998</v>
      </c>
      <c r="H112">
        <v>36.1</v>
      </c>
      <c r="I112">
        <v>472710</v>
      </c>
      <c r="J112" t="s">
        <v>14</v>
      </c>
    </row>
    <row r="113" spans="1:10" x14ac:dyDescent="0.35">
      <c r="A113" t="s">
        <v>162</v>
      </c>
      <c r="B113" t="s">
        <v>184</v>
      </c>
      <c r="C113" t="s">
        <v>186</v>
      </c>
      <c r="D113">
        <v>2018</v>
      </c>
      <c r="E113">
        <v>63.33</v>
      </c>
      <c r="F113">
        <v>42.33</v>
      </c>
      <c r="G113">
        <v>25.076747000000001</v>
      </c>
      <c r="H113">
        <v>39.97</v>
      </c>
      <c r="I113">
        <v>472710</v>
      </c>
      <c r="J113" t="s">
        <v>14</v>
      </c>
    </row>
    <row r="114" spans="1:10" x14ac:dyDescent="0.35">
      <c r="A114" t="s">
        <v>162</v>
      </c>
      <c r="B114" t="s">
        <v>184</v>
      </c>
      <c r="C114" t="s">
        <v>186</v>
      </c>
      <c r="D114">
        <v>2019</v>
      </c>
      <c r="E114">
        <v>63.33</v>
      </c>
      <c r="F114">
        <v>42.33</v>
      </c>
      <c r="G114">
        <v>25.782340999999999</v>
      </c>
      <c r="H114">
        <v>39.67</v>
      </c>
      <c r="I114">
        <v>472710</v>
      </c>
      <c r="J114" t="s">
        <v>14</v>
      </c>
    </row>
    <row r="115" spans="1:10" x14ac:dyDescent="0.35">
      <c r="A115" t="s">
        <v>162</v>
      </c>
      <c r="B115" t="s">
        <v>163</v>
      </c>
      <c r="C115" t="s">
        <v>182</v>
      </c>
      <c r="D115">
        <v>2015</v>
      </c>
      <c r="E115">
        <v>63.67</v>
      </c>
      <c r="F115">
        <v>31</v>
      </c>
      <c r="G115">
        <v>16.24823</v>
      </c>
      <c r="H115">
        <v>21.25</v>
      </c>
      <c r="I115">
        <v>743390</v>
      </c>
      <c r="J115" t="s">
        <v>14</v>
      </c>
    </row>
    <row r="116" spans="1:10" x14ac:dyDescent="0.35">
      <c r="A116" t="s">
        <v>54</v>
      </c>
      <c r="B116" t="s">
        <v>55</v>
      </c>
      <c r="C116" t="s">
        <v>69</v>
      </c>
      <c r="D116">
        <v>2015</v>
      </c>
      <c r="E116">
        <v>64</v>
      </c>
      <c r="F116">
        <v>32.33</v>
      </c>
      <c r="G116">
        <v>10.563757000000001</v>
      </c>
      <c r="H116">
        <v>14.83</v>
      </c>
      <c r="I116">
        <v>27560</v>
      </c>
      <c r="J116" t="s">
        <v>14</v>
      </c>
    </row>
    <row r="117" spans="1:10" x14ac:dyDescent="0.35">
      <c r="A117" t="s">
        <v>162</v>
      </c>
      <c r="B117" t="s">
        <v>163</v>
      </c>
      <c r="C117" t="s">
        <v>175</v>
      </c>
      <c r="D117">
        <v>2016</v>
      </c>
      <c r="E117">
        <v>64</v>
      </c>
      <c r="F117">
        <v>62</v>
      </c>
      <c r="G117">
        <v>11.930899</v>
      </c>
      <c r="H117">
        <v>8.69</v>
      </c>
      <c r="I117">
        <v>24670</v>
      </c>
      <c r="J117" t="s">
        <v>14</v>
      </c>
    </row>
    <row r="118" spans="1:10" x14ac:dyDescent="0.35">
      <c r="A118" t="s">
        <v>162</v>
      </c>
      <c r="B118" t="s">
        <v>184</v>
      </c>
      <c r="C118" t="s">
        <v>186</v>
      </c>
      <c r="D118">
        <v>2020</v>
      </c>
      <c r="E118">
        <v>64</v>
      </c>
      <c r="F118">
        <v>43</v>
      </c>
      <c r="G118">
        <v>26.491087</v>
      </c>
      <c r="H118">
        <v>40.770000000000003</v>
      </c>
      <c r="I118">
        <v>472710</v>
      </c>
      <c r="J118" t="s">
        <v>14</v>
      </c>
    </row>
    <row r="119" spans="1:10" x14ac:dyDescent="0.35">
      <c r="A119" t="s">
        <v>162</v>
      </c>
      <c r="B119" t="s">
        <v>200</v>
      </c>
      <c r="C119" t="s">
        <v>216</v>
      </c>
      <c r="D119">
        <v>2019</v>
      </c>
      <c r="E119">
        <v>64</v>
      </c>
      <c r="F119">
        <v>17</v>
      </c>
      <c r="G119">
        <v>8.0468279999999996</v>
      </c>
      <c r="H119">
        <v>4.08</v>
      </c>
      <c r="I119">
        <v>72180</v>
      </c>
      <c r="J119" t="s">
        <v>14</v>
      </c>
    </row>
    <row r="120" spans="1:10" x14ac:dyDescent="0.35">
      <c r="A120" t="s">
        <v>54</v>
      </c>
      <c r="B120" t="s">
        <v>55</v>
      </c>
      <c r="C120" t="s">
        <v>69</v>
      </c>
      <c r="D120">
        <v>2016</v>
      </c>
      <c r="E120">
        <v>64.33</v>
      </c>
      <c r="F120">
        <v>33.33</v>
      </c>
      <c r="G120">
        <v>10.713849</v>
      </c>
      <c r="H120">
        <v>13.99</v>
      </c>
      <c r="I120">
        <v>27560</v>
      </c>
      <c r="J120" t="s">
        <v>14</v>
      </c>
    </row>
    <row r="121" spans="1:10" x14ac:dyDescent="0.35">
      <c r="A121" t="s">
        <v>54</v>
      </c>
      <c r="B121" t="s">
        <v>55</v>
      </c>
      <c r="C121" t="s">
        <v>69</v>
      </c>
      <c r="D121">
        <v>2017</v>
      </c>
      <c r="E121">
        <v>64.33</v>
      </c>
      <c r="F121">
        <v>34.33</v>
      </c>
      <c r="G121">
        <v>10.863543</v>
      </c>
      <c r="H121">
        <v>15.04</v>
      </c>
      <c r="I121">
        <v>27560</v>
      </c>
      <c r="J121" t="s">
        <v>14</v>
      </c>
    </row>
    <row r="122" spans="1:10" x14ac:dyDescent="0.35">
      <c r="A122" t="s">
        <v>162</v>
      </c>
      <c r="B122" t="s">
        <v>163</v>
      </c>
      <c r="C122" t="s">
        <v>169</v>
      </c>
      <c r="D122">
        <v>2015</v>
      </c>
      <c r="E122">
        <v>64.33</v>
      </c>
      <c r="F122">
        <v>33</v>
      </c>
      <c r="G122">
        <v>46.851488000000003</v>
      </c>
      <c r="H122">
        <v>70.12</v>
      </c>
      <c r="I122">
        <v>569140</v>
      </c>
      <c r="J122" t="s">
        <v>14</v>
      </c>
    </row>
    <row r="123" spans="1:10" x14ac:dyDescent="0.35">
      <c r="A123" t="s">
        <v>162</v>
      </c>
      <c r="B123" t="s">
        <v>163</v>
      </c>
      <c r="C123" t="s">
        <v>174</v>
      </c>
      <c r="D123">
        <v>2019</v>
      </c>
      <c r="E123">
        <v>64.33</v>
      </c>
      <c r="F123">
        <v>39.33</v>
      </c>
      <c r="G123">
        <v>30.285595000000001</v>
      </c>
      <c r="H123">
        <v>15.39</v>
      </c>
      <c r="I123">
        <v>786380</v>
      </c>
      <c r="J123" t="s">
        <v>14</v>
      </c>
    </row>
    <row r="124" spans="1:10" x14ac:dyDescent="0.35">
      <c r="A124" t="s">
        <v>162</v>
      </c>
      <c r="B124" t="s">
        <v>163</v>
      </c>
      <c r="C124" t="s">
        <v>182</v>
      </c>
      <c r="D124">
        <v>2016</v>
      </c>
      <c r="E124">
        <v>64.33</v>
      </c>
      <c r="F124">
        <v>31</v>
      </c>
      <c r="G124">
        <v>16.767761</v>
      </c>
      <c r="H124">
        <v>20.96</v>
      </c>
      <c r="I124">
        <v>743390</v>
      </c>
      <c r="J124" t="s">
        <v>14</v>
      </c>
    </row>
    <row r="125" spans="1:10" x14ac:dyDescent="0.35">
      <c r="A125" t="s">
        <v>54</v>
      </c>
      <c r="B125" t="s">
        <v>55</v>
      </c>
      <c r="C125" t="s">
        <v>69</v>
      </c>
      <c r="D125">
        <v>2018</v>
      </c>
      <c r="E125">
        <v>64.67</v>
      </c>
      <c r="F125">
        <v>35.33</v>
      </c>
      <c r="G125">
        <v>11.012421</v>
      </c>
      <c r="H125">
        <v>16.46</v>
      </c>
      <c r="I125">
        <v>27560</v>
      </c>
      <c r="J125" t="s">
        <v>14</v>
      </c>
    </row>
    <row r="126" spans="1:10" x14ac:dyDescent="0.35">
      <c r="A126" t="s">
        <v>54</v>
      </c>
      <c r="B126" t="s">
        <v>55</v>
      </c>
      <c r="C126" t="s">
        <v>69</v>
      </c>
      <c r="D126">
        <v>2019</v>
      </c>
      <c r="E126">
        <v>64.67</v>
      </c>
      <c r="F126">
        <v>36</v>
      </c>
      <c r="G126">
        <v>11.160437999999999</v>
      </c>
      <c r="H126">
        <v>14.79</v>
      </c>
      <c r="I126">
        <v>27560</v>
      </c>
      <c r="J126" t="s">
        <v>14</v>
      </c>
    </row>
    <row r="127" spans="1:10" x14ac:dyDescent="0.35">
      <c r="A127" t="s">
        <v>162</v>
      </c>
      <c r="B127" t="s">
        <v>163</v>
      </c>
      <c r="C127" t="s">
        <v>181</v>
      </c>
      <c r="D127">
        <v>2019</v>
      </c>
      <c r="E127">
        <v>64.67</v>
      </c>
      <c r="F127">
        <v>34</v>
      </c>
      <c r="G127" t="s">
        <v>14</v>
      </c>
      <c r="H127" t="s">
        <v>14</v>
      </c>
      <c r="I127" t="s">
        <v>14</v>
      </c>
      <c r="J127" t="s">
        <v>14</v>
      </c>
    </row>
    <row r="128" spans="1:10" x14ac:dyDescent="0.35">
      <c r="A128" t="s">
        <v>162</v>
      </c>
      <c r="B128" t="s">
        <v>163</v>
      </c>
      <c r="C128" t="s">
        <v>182</v>
      </c>
      <c r="D128">
        <v>2017</v>
      </c>
      <c r="E128">
        <v>64.67</v>
      </c>
      <c r="F128">
        <v>31.67</v>
      </c>
      <c r="G128">
        <v>17.298054</v>
      </c>
      <c r="H128">
        <v>25.87</v>
      </c>
      <c r="I128">
        <v>743390</v>
      </c>
      <c r="J128">
        <v>8.52</v>
      </c>
    </row>
    <row r="129" spans="1:10" x14ac:dyDescent="0.35">
      <c r="A129" t="s">
        <v>54</v>
      </c>
      <c r="B129" t="s">
        <v>55</v>
      </c>
      <c r="C129" t="s">
        <v>69</v>
      </c>
      <c r="D129">
        <v>2020</v>
      </c>
      <c r="E129">
        <v>65</v>
      </c>
      <c r="F129">
        <v>36</v>
      </c>
      <c r="G129">
        <v>11.306801</v>
      </c>
      <c r="H129">
        <v>14.51</v>
      </c>
      <c r="I129">
        <v>27560</v>
      </c>
      <c r="J129" t="s">
        <v>14</v>
      </c>
    </row>
    <row r="130" spans="1:10" x14ac:dyDescent="0.35">
      <c r="A130" t="s">
        <v>162</v>
      </c>
      <c r="B130" t="s">
        <v>163</v>
      </c>
      <c r="C130" t="s">
        <v>169</v>
      </c>
      <c r="D130">
        <v>2016</v>
      </c>
      <c r="E130">
        <v>65</v>
      </c>
      <c r="F130">
        <v>33</v>
      </c>
      <c r="G130">
        <v>47.894669999999998</v>
      </c>
      <c r="H130">
        <v>74.819999999999993</v>
      </c>
      <c r="I130">
        <v>569140</v>
      </c>
      <c r="J130">
        <v>2.76</v>
      </c>
    </row>
    <row r="131" spans="1:10" x14ac:dyDescent="0.35">
      <c r="A131" t="s">
        <v>162</v>
      </c>
      <c r="B131" t="s">
        <v>163</v>
      </c>
      <c r="C131" t="s">
        <v>175</v>
      </c>
      <c r="D131">
        <v>2017</v>
      </c>
      <c r="E131">
        <v>65</v>
      </c>
      <c r="F131">
        <v>63</v>
      </c>
      <c r="G131">
        <v>12.230339000000001</v>
      </c>
      <c r="H131">
        <v>9.25</v>
      </c>
      <c r="I131">
        <v>24670</v>
      </c>
      <c r="J131">
        <v>11.88</v>
      </c>
    </row>
    <row r="132" spans="1:10" x14ac:dyDescent="0.35">
      <c r="A132" t="s">
        <v>162</v>
      </c>
      <c r="B132" t="s">
        <v>163</v>
      </c>
      <c r="C132" t="s">
        <v>181</v>
      </c>
      <c r="D132">
        <v>2020</v>
      </c>
      <c r="E132">
        <v>65</v>
      </c>
      <c r="F132">
        <v>34</v>
      </c>
      <c r="G132" t="s">
        <v>14</v>
      </c>
      <c r="H132" t="s">
        <v>14</v>
      </c>
      <c r="I132" t="s">
        <v>14</v>
      </c>
      <c r="J132" t="s">
        <v>14</v>
      </c>
    </row>
    <row r="133" spans="1:10" x14ac:dyDescent="0.35">
      <c r="A133" t="s">
        <v>162</v>
      </c>
      <c r="B133" t="s">
        <v>200</v>
      </c>
      <c r="C133" t="s">
        <v>216</v>
      </c>
      <c r="D133">
        <v>2020</v>
      </c>
      <c r="E133">
        <v>65</v>
      </c>
      <c r="F133">
        <v>17.329999999999998</v>
      </c>
      <c r="G133">
        <v>8.2339699999999993</v>
      </c>
      <c r="H133">
        <v>4.0599999999999996</v>
      </c>
      <c r="I133">
        <v>72180</v>
      </c>
      <c r="J133" t="s">
        <v>14</v>
      </c>
    </row>
    <row r="134" spans="1:10" x14ac:dyDescent="0.35">
      <c r="A134" t="s">
        <v>162</v>
      </c>
      <c r="B134" t="s">
        <v>163</v>
      </c>
      <c r="C134" t="s">
        <v>182</v>
      </c>
      <c r="D134">
        <v>2018</v>
      </c>
      <c r="E134">
        <v>65.33</v>
      </c>
      <c r="F134">
        <v>32</v>
      </c>
      <c r="G134">
        <v>17.835892999999999</v>
      </c>
      <c r="H134">
        <v>26.31</v>
      </c>
      <c r="I134">
        <v>743390</v>
      </c>
      <c r="J134">
        <v>5.03</v>
      </c>
    </row>
    <row r="135" spans="1:10" x14ac:dyDescent="0.35">
      <c r="A135" t="s">
        <v>162</v>
      </c>
      <c r="B135" t="s">
        <v>200</v>
      </c>
      <c r="C135" t="s">
        <v>201</v>
      </c>
      <c r="D135">
        <v>2015</v>
      </c>
      <c r="E135">
        <v>65.33</v>
      </c>
      <c r="F135">
        <v>15.33</v>
      </c>
      <c r="G135">
        <v>10.932783000000001</v>
      </c>
      <c r="H135">
        <v>11.39</v>
      </c>
      <c r="I135">
        <v>112760</v>
      </c>
      <c r="J135" t="s">
        <v>14</v>
      </c>
    </row>
    <row r="136" spans="1:10" x14ac:dyDescent="0.35">
      <c r="A136" t="s">
        <v>162</v>
      </c>
      <c r="B136" t="s">
        <v>200</v>
      </c>
      <c r="C136" t="s">
        <v>201</v>
      </c>
      <c r="D136">
        <v>2016</v>
      </c>
      <c r="E136">
        <v>65.33</v>
      </c>
      <c r="F136">
        <v>15.67</v>
      </c>
      <c r="G136">
        <v>11.260085</v>
      </c>
      <c r="H136">
        <v>11.82</v>
      </c>
      <c r="I136">
        <v>112760</v>
      </c>
      <c r="J136" t="s">
        <v>14</v>
      </c>
    </row>
    <row r="137" spans="1:10" x14ac:dyDescent="0.35">
      <c r="A137" t="s">
        <v>162</v>
      </c>
      <c r="B137" t="s">
        <v>200</v>
      </c>
      <c r="C137" t="s">
        <v>201</v>
      </c>
      <c r="D137">
        <v>2017</v>
      </c>
      <c r="E137">
        <v>65.33</v>
      </c>
      <c r="F137">
        <v>16</v>
      </c>
      <c r="G137">
        <v>11.596779</v>
      </c>
      <c r="H137">
        <v>12.7</v>
      </c>
      <c r="I137">
        <v>112760</v>
      </c>
      <c r="J137" t="s">
        <v>14</v>
      </c>
    </row>
    <row r="138" spans="1:10" x14ac:dyDescent="0.35">
      <c r="A138" t="s">
        <v>162</v>
      </c>
      <c r="B138" t="s">
        <v>200</v>
      </c>
      <c r="C138" t="s">
        <v>201</v>
      </c>
      <c r="D138">
        <v>2019</v>
      </c>
      <c r="E138">
        <v>65.33</v>
      </c>
      <c r="F138">
        <v>17</v>
      </c>
      <c r="G138">
        <v>12.290444000000001</v>
      </c>
      <c r="H138">
        <v>14.39</v>
      </c>
      <c r="I138">
        <v>112760</v>
      </c>
      <c r="J138" t="s">
        <v>14</v>
      </c>
    </row>
    <row r="139" spans="1:10" x14ac:dyDescent="0.35">
      <c r="A139" t="s">
        <v>162</v>
      </c>
      <c r="B139" t="s">
        <v>200</v>
      </c>
      <c r="C139" t="s">
        <v>201</v>
      </c>
      <c r="D139">
        <v>2020</v>
      </c>
      <c r="E139">
        <v>65.33</v>
      </c>
      <c r="F139">
        <v>17.329999999999998</v>
      </c>
      <c r="G139">
        <v>12.643122999999999</v>
      </c>
      <c r="H139">
        <v>15.65</v>
      </c>
      <c r="I139">
        <v>112760</v>
      </c>
      <c r="J139" t="s">
        <v>14</v>
      </c>
    </row>
    <row r="140" spans="1:10" x14ac:dyDescent="0.35">
      <c r="A140" t="s">
        <v>162</v>
      </c>
      <c r="B140" t="s">
        <v>163</v>
      </c>
      <c r="C140" t="s">
        <v>169</v>
      </c>
      <c r="D140">
        <v>2017</v>
      </c>
      <c r="E140">
        <v>65.67</v>
      </c>
      <c r="F140">
        <v>33</v>
      </c>
      <c r="G140">
        <v>48.948137000000003</v>
      </c>
      <c r="H140">
        <v>82.04</v>
      </c>
      <c r="I140">
        <v>569140</v>
      </c>
      <c r="J140" t="s">
        <v>14</v>
      </c>
    </row>
    <row r="141" spans="1:10" x14ac:dyDescent="0.35">
      <c r="A141" t="s">
        <v>162</v>
      </c>
      <c r="B141" t="s">
        <v>163</v>
      </c>
      <c r="C141" t="s">
        <v>169</v>
      </c>
      <c r="D141">
        <v>2018</v>
      </c>
      <c r="E141">
        <v>65.67</v>
      </c>
      <c r="F141">
        <v>33.33</v>
      </c>
      <c r="G141">
        <v>49.953304000000003</v>
      </c>
      <c r="H141">
        <v>92.2</v>
      </c>
      <c r="I141">
        <v>569140</v>
      </c>
      <c r="J141" t="s">
        <v>14</v>
      </c>
    </row>
    <row r="142" spans="1:10" x14ac:dyDescent="0.35">
      <c r="A142" t="s">
        <v>162</v>
      </c>
      <c r="B142" t="s">
        <v>163</v>
      </c>
      <c r="C142" t="s">
        <v>175</v>
      </c>
      <c r="D142">
        <v>2018</v>
      </c>
      <c r="E142">
        <v>65.67</v>
      </c>
      <c r="F142">
        <v>63.33</v>
      </c>
      <c r="G142">
        <v>12.531808</v>
      </c>
      <c r="H142">
        <v>9.64</v>
      </c>
      <c r="I142">
        <v>24670</v>
      </c>
      <c r="J142">
        <v>10.76</v>
      </c>
    </row>
    <row r="143" spans="1:10" x14ac:dyDescent="0.35">
      <c r="A143" t="s">
        <v>162</v>
      </c>
      <c r="B143" t="s">
        <v>200</v>
      </c>
      <c r="C143" t="s">
        <v>201</v>
      </c>
      <c r="D143">
        <v>2018</v>
      </c>
      <c r="E143">
        <v>65.67</v>
      </c>
      <c r="F143">
        <v>16.329999999999998</v>
      </c>
      <c r="G143">
        <v>11.940683</v>
      </c>
      <c r="H143">
        <v>14.26</v>
      </c>
      <c r="I143">
        <v>112760</v>
      </c>
      <c r="J143">
        <v>1.47</v>
      </c>
    </row>
    <row r="144" spans="1:10" x14ac:dyDescent="0.35">
      <c r="A144" t="s">
        <v>162</v>
      </c>
      <c r="B144" t="s">
        <v>163</v>
      </c>
      <c r="C144" t="s">
        <v>169</v>
      </c>
      <c r="D144">
        <v>2019</v>
      </c>
      <c r="E144">
        <v>66.33</v>
      </c>
      <c r="F144">
        <v>33.33</v>
      </c>
      <c r="G144">
        <v>50.951450000000001</v>
      </c>
      <c r="H144">
        <v>100.38</v>
      </c>
      <c r="I144">
        <v>569140</v>
      </c>
      <c r="J144">
        <v>5.01</v>
      </c>
    </row>
    <row r="145" spans="1:10" x14ac:dyDescent="0.35">
      <c r="A145" t="s">
        <v>162</v>
      </c>
      <c r="B145" t="s">
        <v>163</v>
      </c>
      <c r="C145" t="s">
        <v>175</v>
      </c>
      <c r="D145">
        <v>2019</v>
      </c>
      <c r="E145">
        <v>66.33</v>
      </c>
      <c r="F145">
        <v>64</v>
      </c>
      <c r="G145">
        <v>12.835027999999999</v>
      </c>
      <c r="H145">
        <v>10.36</v>
      </c>
      <c r="I145">
        <v>24670</v>
      </c>
      <c r="J145">
        <v>11.24</v>
      </c>
    </row>
    <row r="146" spans="1:10" x14ac:dyDescent="0.35">
      <c r="A146" t="s">
        <v>162</v>
      </c>
      <c r="B146" t="s">
        <v>163</v>
      </c>
      <c r="C146" t="s">
        <v>175</v>
      </c>
      <c r="D146">
        <v>2020</v>
      </c>
      <c r="E146">
        <v>66.33</v>
      </c>
      <c r="F146">
        <v>64</v>
      </c>
      <c r="G146">
        <v>13.146362</v>
      </c>
      <c r="H146">
        <v>10.18</v>
      </c>
      <c r="I146">
        <v>24670</v>
      </c>
      <c r="J146">
        <v>11.83</v>
      </c>
    </row>
    <row r="147" spans="1:10" x14ac:dyDescent="0.35">
      <c r="A147" t="s">
        <v>162</v>
      </c>
      <c r="B147" t="s">
        <v>163</v>
      </c>
      <c r="C147" t="s">
        <v>182</v>
      </c>
      <c r="D147">
        <v>2019</v>
      </c>
      <c r="E147">
        <v>66.33</v>
      </c>
      <c r="F147">
        <v>32</v>
      </c>
      <c r="G147">
        <v>18.380476999999999</v>
      </c>
      <c r="H147">
        <v>23.31</v>
      </c>
      <c r="I147">
        <v>743390</v>
      </c>
      <c r="J147">
        <v>5.54</v>
      </c>
    </row>
    <row r="148" spans="1:10" x14ac:dyDescent="0.35">
      <c r="A148" t="s">
        <v>162</v>
      </c>
      <c r="B148" t="s">
        <v>184</v>
      </c>
      <c r="C148" t="s">
        <v>189</v>
      </c>
      <c r="D148">
        <v>2015</v>
      </c>
      <c r="E148">
        <v>66.33</v>
      </c>
      <c r="F148">
        <v>17</v>
      </c>
      <c r="G148" t="s">
        <v>14</v>
      </c>
      <c r="H148" t="s">
        <v>14</v>
      </c>
      <c r="I148" t="s">
        <v>14</v>
      </c>
      <c r="J148" t="s">
        <v>14</v>
      </c>
    </row>
    <row r="149" spans="1:10" x14ac:dyDescent="0.35">
      <c r="A149" t="s">
        <v>162</v>
      </c>
      <c r="B149" t="s">
        <v>200</v>
      </c>
      <c r="C149" t="s">
        <v>217</v>
      </c>
      <c r="D149">
        <v>2015</v>
      </c>
      <c r="E149">
        <v>66.33</v>
      </c>
      <c r="F149">
        <v>17.670000000000002</v>
      </c>
      <c r="G149">
        <v>7.4732289999999999</v>
      </c>
      <c r="H149">
        <v>4.18</v>
      </c>
      <c r="I149">
        <v>54390</v>
      </c>
      <c r="J149">
        <v>2.2000000000000002</v>
      </c>
    </row>
    <row r="150" spans="1:10" x14ac:dyDescent="0.35">
      <c r="A150" t="s">
        <v>162</v>
      </c>
      <c r="B150" t="s">
        <v>163</v>
      </c>
      <c r="C150" t="s">
        <v>174</v>
      </c>
      <c r="D150">
        <v>2020</v>
      </c>
      <c r="E150">
        <v>66.67</v>
      </c>
      <c r="F150">
        <v>40.33</v>
      </c>
      <c r="G150">
        <v>31.178239000000001</v>
      </c>
      <c r="H150">
        <v>14.03</v>
      </c>
      <c r="I150">
        <v>786380</v>
      </c>
      <c r="J150" t="s">
        <v>14</v>
      </c>
    </row>
    <row r="151" spans="1:10" x14ac:dyDescent="0.35">
      <c r="A151" t="s">
        <v>162</v>
      </c>
      <c r="B151" t="s">
        <v>163</v>
      </c>
      <c r="C151" t="s">
        <v>182</v>
      </c>
      <c r="D151">
        <v>2020</v>
      </c>
      <c r="E151">
        <v>66.67</v>
      </c>
      <c r="F151">
        <v>32.67</v>
      </c>
      <c r="G151">
        <v>18.927714999999999</v>
      </c>
      <c r="H151">
        <v>18.11</v>
      </c>
      <c r="I151">
        <v>743390</v>
      </c>
      <c r="J151">
        <v>6.03</v>
      </c>
    </row>
    <row r="152" spans="1:10" x14ac:dyDescent="0.35">
      <c r="A152" t="s">
        <v>162</v>
      </c>
      <c r="B152" t="s">
        <v>200</v>
      </c>
      <c r="C152" t="s">
        <v>211</v>
      </c>
      <c r="D152">
        <v>2015</v>
      </c>
      <c r="E152">
        <v>66.67</v>
      </c>
      <c r="F152">
        <v>42.67</v>
      </c>
      <c r="G152">
        <v>3.9462199999999998</v>
      </c>
      <c r="H152">
        <v>6.17</v>
      </c>
      <c r="I152">
        <v>1030700</v>
      </c>
      <c r="J152" t="s">
        <v>14</v>
      </c>
    </row>
    <row r="153" spans="1:10" x14ac:dyDescent="0.35">
      <c r="A153" t="s">
        <v>10</v>
      </c>
      <c r="B153" t="s">
        <v>18</v>
      </c>
      <c r="C153" t="s">
        <v>19</v>
      </c>
      <c r="D153">
        <v>2015</v>
      </c>
      <c r="E153">
        <v>67</v>
      </c>
      <c r="F153">
        <v>45.67</v>
      </c>
      <c r="G153">
        <v>33.753498999999998</v>
      </c>
      <c r="H153">
        <v>20</v>
      </c>
      <c r="I153">
        <v>652230</v>
      </c>
      <c r="J153" t="s">
        <v>14</v>
      </c>
    </row>
    <row r="154" spans="1:10" x14ac:dyDescent="0.35">
      <c r="A154" t="s">
        <v>162</v>
      </c>
      <c r="B154" t="s">
        <v>163</v>
      </c>
      <c r="C154" t="s">
        <v>169</v>
      </c>
      <c r="D154">
        <v>2020</v>
      </c>
      <c r="E154">
        <v>67</v>
      </c>
      <c r="F154">
        <v>33.67</v>
      </c>
      <c r="G154">
        <v>51.985779999999998</v>
      </c>
      <c r="H154">
        <v>100.67</v>
      </c>
      <c r="I154">
        <v>569140</v>
      </c>
      <c r="J154" t="s">
        <v>14</v>
      </c>
    </row>
    <row r="155" spans="1:10" x14ac:dyDescent="0.35">
      <c r="A155" t="s">
        <v>162</v>
      </c>
      <c r="B155" t="s">
        <v>200</v>
      </c>
      <c r="C155" t="s">
        <v>207</v>
      </c>
      <c r="D155">
        <v>2015</v>
      </c>
      <c r="E155">
        <v>67</v>
      </c>
      <c r="F155">
        <v>26</v>
      </c>
      <c r="G155">
        <v>11.625997999999999</v>
      </c>
      <c r="H155">
        <v>8.7899999999999991</v>
      </c>
      <c r="I155">
        <v>245720</v>
      </c>
      <c r="J155" t="s">
        <v>14</v>
      </c>
    </row>
    <row r="156" spans="1:10" x14ac:dyDescent="0.35">
      <c r="A156" t="s">
        <v>162</v>
      </c>
      <c r="B156" t="s">
        <v>200</v>
      </c>
      <c r="C156" t="s">
        <v>207</v>
      </c>
      <c r="D156">
        <v>2016</v>
      </c>
      <c r="E156">
        <v>67</v>
      </c>
      <c r="F156">
        <v>27.33</v>
      </c>
      <c r="G156">
        <v>11.930985</v>
      </c>
      <c r="H156">
        <v>8.6</v>
      </c>
      <c r="I156">
        <v>245720</v>
      </c>
      <c r="J156" t="s">
        <v>14</v>
      </c>
    </row>
    <row r="157" spans="1:10" x14ac:dyDescent="0.35">
      <c r="A157" t="s">
        <v>162</v>
      </c>
      <c r="B157" t="s">
        <v>200</v>
      </c>
      <c r="C157" t="s">
        <v>207</v>
      </c>
      <c r="D157">
        <v>2018</v>
      </c>
      <c r="E157">
        <v>67</v>
      </c>
      <c r="F157">
        <v>29.67</v>
      </c>
      <c r="G157">
        <v>12.554864</v>
      </c>
      <c r="H157">
        <v>11.86</v>
      </c>
      <c r="I157">
        <v>245720</v>
      </c>
      <c r="J157" t="s">
        <v>14</v>
      </c>
    </row>
    <row r="158" spans="1:10" x14ac:dyDescent="0.35">
      <c r="A158" t="s">
        <v>162</v>
      </c>
      <c r="B158" t="s">
        <v>200</v>
      </c>
      <c r="C158" t="s">
        <v>207</v>
      </c>
      <c r="D158">
        <v>2019</v>
      </c>
      <c r="E158">
        <v>67</v>
      </c>
      <c r="F158">
        <v>30.67</v>
      </c>
      <c r="G158">
        <v>12.877539000000001</v>
      </c>
      <c r="H158">
        <v>13.44</v>
      </c>
      <c r="I158">
        <v>245720</v>
      </c>
      <c r="J158">
        <v>5.0199999999999996</v>
      </c>
    </row>
    <row r="159" spans="1:10" x14ac:dyDescent="0.35">
      <c r="A159" t="s">
        <v>162</v>
      </c>
      <c r="B159" t="s">
        <v>200</v>
      </c>
      <c r="C159" t="s">
        <v>207</v>
      </c>
      <c r="D159">
        <v>2017</v>
      </c>
      <c r="E159">
        <v>67.33</v>
      </c>
      <c r="F159">
        <v>28.33</v>
      </c>
      <c r="G159">
        <v>12.240788999999999</v>
      </c>
      <c r="H159">
        <v>10.32</v>
      </c>
      <c r="I159">
        <v>245720</v>
      </c>
      <c r="J159" t="s">
        <v>14</v>
      </c>
    </row>
    <row r="160" spans="1:10" x14ac:dyDescent="0.35">
      <c r="A160" t="s">
        <v>162</v>
      </c>
      <c r="B160" t="s">
        <v>200</v>
      </c>
      <c r="C160" t="s">
        <v>207</v>
      </c>
      <c r="D160">
        <v>2020</v>
      </c>
      <c r="E160">
        <v>67.33</v>
      </c>
      <c r="F160">
        <v>32.33</v>
      </c>
      <c r="G160">
        <v>13.205152999999999</v>
      </c>
      <c r="H160">
        <v>14.18</v>
      </c>
      <c r="I160">
        <v>245720</v>
      </c>
      <c r="J160" t="s">
        <v>14</v>
      </c>
    </row>
    <row r="161" spans="1:10" x14ac:dyDescent="0.35">
      <c r="A161" t="s">
        <v>162</v>
      </c>
      <c r="B161" t="s">
        <v>200</v>
      </c>
      <c r="C161" t="s">
        <v>217</v>
      </c>
      <c r="D161">
        <v>2016</v>
      </c>
      <c r="E161">
        <v>67.33</v>
      </c>
      <c r="F161">
        <v>18.329999999999998</v>
      </c>
      <c r="G161">
        <v>7.6613540000000002</v>
      </c>
      <c r="H161">
        <v>6.03</v>
      </c>
      <c r="I161">
        <v>54390</v>
      </c>
      <c r="J161" t="s">
        <v>14</v>
      </c>
    </row>
    <row r="162" spans="1:10" x14ac:dyDescent="0.35">
      <c r="A162" t="s">
        <v>162</v>
      </c>
      <c r="B162" t="s">
        <v>184</v>
      </c>
      <c r="C162" t="s">
        <v>189</v>
      </c>
      <c r="D162">
        <v>2016</v>
      </c>
      <c r="E162">
        <v>67.67</v>
      </c>
      <c r="F162">
        <v>17.329999999999998</v>
      </c>
      <c r="G162" t="s">
        <v>14</v>
      </c>
      <c r="H162" t="s">
        <v>14</v>
      </c>
      <c r="I162" t="s">
        <v>14</v>
      </c>
      <c r="J162" t="s">
        <v>14</v>
      </c>
    </row>
    <row r="163" spans="1:10" x14ac:dyDescent="0.35">
      <c r="A163" t="s">
        <v>162</v>
      </c>
      <c r="B163" t="s">
        <v>163</v>
      </c>
      <c r="C163" t="s">
        <v>183</v>
      </c>
      <c r="D163">
        <v>2020</v>
      </c>
      <c r="E163">
        <v>68</v>
      </c>
      <c r="F163">
        <v>36.33</v>
      </c>
      <c r="G163">
        <v>15.669665999999999</v>
      </c>
      <c r="H163">
        <v>21.51</v>
      </c>
      <c r="I163">
        <v>386850</v>
      </c>
      <c r="J163" t="s">
        <v>14</v>
      </c>
    </row>
    <row r="164" spans="1:10" x14ac:dyDescent="0.35">
      <c r="A164" t="s">
        <v>162</v>
      </c>
      <c r="B164" t="s">
        <v>163</v>
      </c>
      <c r="C164" t="s">
        <v>164</v>
      </c>
      <c r="D164">
        <v>2015</v>
      </c>
      <c r="E164">
        <v>68.33</v>
      </c>
      <c r="F164">
        <v>44.67</v>
      </c>
      <c r="G164">
        <v>10.727148</v>
      </c>
      <c r="H164">
        <v>3.1</v>
      </c>
      <c r="I164">
        <v>25680</v>
      </c>
      <c r="J164" t="s">
        <v>14</v>
      </c>
    </row>
    <row r="165" spans="1:10" x14ac:dyDescent="0.35">
      <c r="A165" t="s">
        <v>162</v>
      </c>
      <c r="B165" t="s">
        <v>163</v>
      </c>
      <c r="C165" t="s">
        <v>164</v>
      </c>
      <c r="D165">
        <v>2016</v>
      </c>
      <c r="E165">
        <v>68.33</v>
      </c>
      <c r="F165">
        <v>44.67</v>
      </c>
      <c r="G165">
        <v>10.903327000000001</v>
      </c>
      <c r="H165">
        <v>2.64</v>
      </c>
      <c r="I165">
        <v>25680</v>
      </c>
      <c r="J165" t="s">
        <v>14</v>
      </c>
    </row>
    <row r="166" spans="1:10" x14ac:dyDescent="0.35">
      <c r="A166" t="s">
        <v>162</v>
      </c>
      <c r="B166" t="s">
        <v>163</v>
      </c>
      <c r="C166" t="s">
        <v>183</v>
      </c>
      <c r="D166">
        <v>2019</v>
      </c>
      <c r="E166">
        <v>68.33</v>
      </c>
      <c r="F166">
        <v>37</v>
      </c>
      <c r="G166">
        <v>15.354608000000001</v>
      </c>
      <c r="H166">
        <v>21.83</v>
      </c>
      <c r="I166">
        <v>386850</v>
      </c>
      <c r="J166">
        <v>7.37</v>
      </c>
    </row>
    <row r="167" spans="1:10" x14ac:dyDescent="0.35">
      <c r="A167" t="s">
        <v>162</v>
      </c>
      <c r="B167" t="s">
        <v>200</v>
      </c>
      <c r="C167" t="s">
        <v>211</v>
      </c>
      <c r="D167">
        <v>2016</v>
      </c>
      <c r="E167">
        <v>68.33</v>
      </c>
      <c r="F167">
        <v>45.33</v>
      </c>
      <c r="G167">
        <v>4.0518900000000002</v>
      </c>
      <c r="H167">
        <v>6.4</v>
      </c>
      <c r="I167">
        <v>1030700</v>
      </c>
      <c r="J167" t="s">
        <v>14</v>
      </c>
    </row>
    <row r="168" spans="1:10" x14ac:dyDescent="0.35">
      <c r="A168" t="s">
        <v>162</v>
      </c>
      <c r="B168" t="s">
        <v>200</v>
      </c>
      <c r="C168" t="s">
        <v>217</v>
      </c>
      <c r="D168">
        <v>2017</v>
      </c>
      <c r="E168">
        <v>68.33</v>
      </c>
      <c r="F168">
        <v>18.329999999999998</v>
      </c>
      <c r="G168">
        <v>7.8527950000000004</v>
      </c>
      <c r="H168">
        <v>6.4</v>
      </c>
      <c r="I168">
        <v>54390</v>
      </c>
      <c r="J168">
        <v>3.74</v>
      </c>
    </row>
    <row r="169" spans="1:10" x14ac:dyDescent="0.35">
      <c r="A169" t="s">
        <v>162</v>
      </c>
      <c r="B169" t="s">
        <v>163</v>
      </c>
      <c r="C169" t="s">
        <v>183</v>
      </c>
      <c r="D169">
        <v>2018</v>
      </c>
      <c r="E169">
        <v>68.67</v>
      </c>
      <c r="F169">
        <v>37.67</v>
      </c>
      <c r="G169">
        <v>15.052184</v>
      </c>
      <c r="H169">
        <v>34.159999999999997</v>
      </c>
      <c r="I169">
        <v>386850</v>
      </c>
      <c r="J169" t="s">
        <v>14</v>
      </c>
    </row>
    <row r="170" spans="1:10" x14ac:dyDescent="0.35">
      <c r="A170" t="s">
        <v>162</v>
      </c>
      <c r="B170" t="s">
        <v>184</v>
      </c>
      <c r="C170" t="s">
        <v>189</v>
      </c>
      <c r="D170">
        <v>2017</v>
      </c>
      <c r="E170">
        <v>68.67</v>
      </c>
      <c r="F170">
        <v>17.670000000000002</v>
      </c>
      <c r="G170" t="s">
        <v>14</v>
      </c>
      <c r="H170" t="s">
        <v>14</v>
      </c>
      <c r="I170" t="s">
        <v>14</v>
      </c>
      <c r="J170" t="s">
        <v>14</v>
      </c>
    </row>
    <row r="171" spans="1:10" x14ac:dyDescent="0.35">
      <c r="A171" t="s">
        <v>162</v>
      </c>
      <c r="B171" t="s">
        <v>184</v>
      </c>
      <c r="C171" t="s">
        <v>189</v>
      </c>
      <c r="D171">
        <v>2018</v>
      </c>
      <c r="E171">
        <v>68.67</v>
      </c>
      <c r="F171">
        <v>17.670000000000002</v>
      </c>
      <c r="G171" t="s">
        <v>14</v>
      </c>
      <c r="H171" t="s">
        <v>14</v>
      </c>
      <c r="I171" t="s">
        <v>14</v>
      </c>
      <c r="J171" t="s">
        <v>14</v>
      </c>
    </row>
    <row r="172" spans="1:10" x14ac:dyDescent="0.35">
      <c r="A172" t="s">
        <v>162</v>
      </c>
      <c r="B172" t="s">
        <v>163</v>
      </c>
      <c r="C172" t="s">
        <v>166</v>
      </c>
      <c r="D172">
        <v>2019</v>
      </c>
      <c r="E172">
        <v>69</v>
      </c>
      <c r="F172">
        <v>56</v>
      </c>
      <c r="G172">
        <v>1.0739939999999999</v>
      </c>
      <c r="H172">
        <v>3.09</v>
      </c>
      <c r="I172">
        <v>23180</v>
      </c>
      <c r="J172" t="s">
        <v>14</v>
      </c>
    </row>
    <row r="173" spans="1:10" x14ac:dyDescent="0.35">
      <c r="A173" t="s">
        <v>162</v>
      </c>
      <c r="B173" t="s">
        <v>163</v>
      </c>
      <c r="C173" t="s">
        <v>166</v>
      </c>
      <c r="D173">
        <v>2020</v>
      </c>
      <c r="E173">
        <v>69</v>
      </c>
      <c r="F173">
        <v>56</v>
      </c>
      <c r="G173">
        <v>1.0901559999999999</v>
      </c>
      <c r="H173">
        <v>3.18</v>
      </c>
      <c r="I173">
        <v>23180</v>
      </c>
      <c r="J173" t="s">
        <v>14</v>
      </c>
    </row>
    <row r="174" spans="1:10" x14ac:dyDescent="0.35">
      <c r="A174" t="s">
        <v>162</v>
      </c>
      <c r="B174" t="s">
        <v>163</v>
      </c>
      <c r="C174" t="s">
        <v>183</v>
      </c>
      <c r="D174">
        <v>2017</v>
      </c>
      <c r="E174">
        <v>69</v>
      </c>
      <c r="F174">
        <v>38.67</v>
      </c>
      <c r="G174">
        <v>14.751101</v>
      </c>
      <c r="H174">
        <v>17.579999999999998</v>
      </c>
      <c r="I174">
        <v>386850</v>
      </c>
      <c r="J174" t="s">
        <v>14</v>
      </c>
    </row>
    <row r="175" spans="1:10" x14ac:dyDescent="0.35">
      <c r="A175" t="s">
        <v>162</v>
      </c>
      <c r="B175" t="s">
        <v>184</v>
      </c>
      <c r="C175" t="s">
        <v>189</v>
      </c>
      <c r="D175">
        <v>2019</v>
      </c>
      <c r="E175">
        <v>69</v>
      </c>
      <c r="F175">
        <v>17.670000000000002</v>
      </c>
      <c r="G175" t="s">
        <v>14</v>
      </c>
      <c r="H175" t="s">
        <v>14</v>
      </c>
      <c r="I175" t="s">
        <v>14</v>
      </c>
      <c r="J175" t="s">
        <v>14</v>
      </c>
    </row>
    <row r="176" spans="1:10" x14ac:dyDescent="0.35">
      <c r="A176" t="s">
        <v>162</v>
      </c>
      <c r="B176" t="s">
        <v>184</v>
      </c>
      <c r="C176" t="s">
        <v>189</v>
      </c>
      <c r="D176">
        <v>2020</v>
      </c>
      <c r="E176">
        <v>69</v>
      </c>
      <c r="F176">
        <v>17.670000000000002</v>
      </c>
      <c r="G176" t="s">
        <v>14</v>
      </c>
      <c r="H176" t="s">
        <v>14</v>
      </c>
      <c r="I176" t="s">
        <v>14</v>
      </c>
      <c r="J176" t="s">
        <v>14</v>
      </c>
    </row>
    <row r="177" spans="1:10" x14ac:dyDescent="0.35">
      <c r="A177" t="s">
        <v>162</v>
      </c>
      <c r="B177" t="s">
        <v>200</v>
      </c>
      <c r="C177" t="s">
        <v>213</v>
      </c>
      <c r="D177">
        <v>2015</v>
      </c>
      <c r="E177">
        <v>69</v>
      </c>
      <c r="F177">
        <v>38.67</v>
      </c>
      <c r="G177">
        <v>183.99578500000001</v>
      </c>
      <c r="H177">
        <v>493.03</v>
      </c>
      <c r="I177">
        <v>910770</v>
      </c>
      <c r="J177">
        <v>4.3099999999999996</v>
      </c>
    </row>
    <row r="178" spans="1:10" x14ac:dyDescent="0.35">
      <c r="A178" t="s">
        <v>162</v>
      </c>
      <c r="B178" t="s">
        <v>163</v>
      </c>
      <c r="C178" t="s">
        <v>164</v>
      </c>
      <c r="D178">
        <v>2017</v>
      </c>
      <c r="E178">
        <v>69.33</v>
      </c>
      <c r="F178">
        <v>44.67</v>
      </c>
      <c r="G178">
        <v>11.155593</v>
      </c>
      <c r="H178">
        <v>2.71</v>
      </c>
      <c r="I178">
        <v>25680</v>
      </c>
      <c r="J178" t="s">
        <v>14</v>
      </c>
    </row>
    <row r="179" spans="1:10" x14ac:dyDescent="0.35">
      <c r="A179" t="s">
        <v>162</v>
      </c>
      <c r="B179" t="s">
        <v>163</v>
      </c>
      <c r="C179" t="s">
        <v>164</v>
      </c>
      <c r="D179">
        <v>2018</v>
      </c>
      <c r="E179">
        <v>69.33</v>
      </c>
      <c r="F179">
        <v>44.33</v>
      </c>
      <c r="G179">
        <v>11.493472000000001</v>
      </c>
      <c r="H179">
        <v>2.66</v>
      </c>
      <c r="I179">
        <v>25680</v>
      </c>
      <c r="J179" t="s">
        <v>14</v>
      </c>
    </row>
    <row r="180" spans="1:10" x14ac:dyDescent="0.35">
      <c r="A180" t="s">
        <v>162</v>
      </c>
      <c r="B180" t="s">
        <v>163</v>
      </c>
      <c r="C180" t="s">
        <v>166</v>
      </c>
      <c r="D180">
        <v>2016</v>
      </c>
      <c r="E180">
        <v>69.33</v>
      </c>
      <c r="F180">
        <v>52.67</v>
      </c>
      <c r="G180">
        <v>1.023261</v>
      </c>
      <c r="H180">
        <v>2.6</v>
      </c>
      <c r="I180">
        <v>23180</v>
      </c>
      <c r="J180" t="s">
        <v>14</v>
      </c>
    </row>
    <row r="181" spans="1:10" x14ac:dyDescent="0.35">
      <c r="A181" t="s">
        <v>162</v>
      </c>
      <c r="B181" t="s">
        <v>163</v>
      </c>
      <c r="C181" t="s">
        <v>166</v>
      </c>
      <c r="D181">
        <v>2017</v>
      </c>
      <c r="E181">
        <v>69.33</v>
      </c>
      <c r="F181">
        <v>53.67</v>
      </c>
      <c r="G181">
        <v>1.040233</v>
      </c>
      <c r="H181">
        <v>2.76</v>
      </c>
      <c r="I181">
        <v>23180</v>
      </c>
      <c r="J181">
        <v>26.06</v>
      </c>
    </row>
    <row r="182" spans="1:10" x14ac:dyDescent="0.35">
      <c r="A182" t="s">
        <v>162</v>
      </c>
      <c r="B182" t="s">
        <v>163</v>
      </c>
      <c r="C182" t="s">
        <v>166</v>
      </c>
      <c r="D182">
        <v>2018</v>
      </c>
      <c r="E182">
        <v>69.33</v>
      </c>
      <c r="F182">
        <v>54.67</v>
      </c>
      <c r="G182">
        <v>1.0571980000000001</v>
      </c>
      <c r="H182">
        <v>2.91</v>
      </c>
      <c r="I182">
        <v>23180</v>
      </c>
      <c r="J182" t="s">
        <v>14</v>
      </c>
    </row>
    <row r="183" spans="1:10" x14ac:dyDescent="0.35">
      <c r="A183" t="s">
        <v>162</v>
      </c>
      <c r="B183" t="s">
        <v>163</v>
      </c>
      <c r="C183" t="s">
        <v>183</v>
      </c>
      <c r="D183">
        <v>2016</v>
      </c>
      <c r="E183">
        <v>69.33</v>
      </c>
      <c r="F183">
        <v>39.33</v>
      </c>
      <c r="G183">
        <v>14.452704000000001</v>
      </c>
      <c r="H183">
        <v>20.55</v>
      </c>
      <c r="I183">
        <v>386850</v>
      </c>
      <c r="J183" t="s">
        <v>14</v>
      </c>
    </row>
    <row r="184" spans="1:10" x14ac:dyDescent="0.35">
      <c r="A184" t="s">
        <v>162</v>
      </c>
      <c r="B184" t="s">
        <v>200</v>
      </c>
      <c r="C184" t="s">
        <v>217</v>
      </c>
      <c r="D184">
        <v>2018</v>
      </c>
      <c r="E184">
        <v>69.33</v>
      </c>
      <c r="F184">
        <v>19.329999999999998</v>
      </c>
      <c r="G184">
        <v>8.0466789999999992</v>
      </c>
      <c r="H184">
        <v>7.11</v>
      </c>
      <c r="I184">
        <v>54390</v>
      </c>
      <c r="J184" t="s">
        <v>14</v>
      </c>
    </row>
    <row r="185" spans="1:10" x14ac:dyDescent="0.35">
      <c r="A185" t="s">
        <v>10</v>
      </c>
      <c r="B185" t="s">
        <v>18</v>
      </c>
      <c r="C185" t="s">
        <v>19</v>
      </c>
      <c r="D185">
        <v>2016</v>
      </c>
      <c r="E185">
        <v>69.67</v>
      </c>
      <c r="F185">
        <v>47</v>
      </c>
      <c r="G185">
        <v>34.636206999999999</v>
      </c>
      <c r="H185">
        <v>18.02</v>
      </c>
      <c r="I185">
        <v>652230</v>
      </c>
      <c r="J185" t="s">
        <v>14</v>
      </c>
    </row>
    <row r="186" spans="1:10" x14ac:dyDescent="0.35">
      <c r="A186" t="s">
        <v>162</v>
      </c>
      <c r="B186" t="s">
        <v>163</v>
      </c>
      <c r="C186" t="s">
        <v>166</v>
      </c>
      <c r="D186">
        <v>2015</v>
      </c>
      <c r="E186">
        <v>69.67</v>
      </c>
      <c r="F186">
        <v>51.33</v>
      </c>
      <c r="G186">
        <v>1.006259</v>
      </c>
      <c r="H186">
        <v>2.42</v>
      </c>
      <c r="I186">
        <v>23180</v>
      </c>
      <c r="J186" t="s">
        <v>14</v>
      </c>
    </row>
    <row r="187" spans="1:10" x14ac:dyDescent="0.35">
      <c r="A187" t="s">
        <v>162</v>
      </c>
      <c r="B187" t="s">
        <v>163</v>
      </c>
      <c r="C187" t="s">
        <v>183</v>
      </c>
      <c r="D187">
        <v>2015</v>
      </c>
      <c r="E187">
        <v>70</v>
      </c>
      <c r="F187">
        <v>40</v>
      </c>
      <c r="G187">
        <v>14.154937</v>
      </c>
      <c r="H187">
        <v>19.96</v>
      </c>
      <c r="I187">
        <v>386850</v>
      </c>
      <c r="J187" t="s">
        <v>14</v>
      </c>
    </row>
    <row r="188" spans="1:10" x14ac:dyDescent="0.35">
      <c r="A188" t="s">
        <v>162</v>
      </c>
      <c r="B188" t="s">
        <v>200</v>
      </c>
      <c r="C188" t="s">
        <v>211</v>
      </c>
      <c r="D188">
        <v>2017</v>
      </c>
      <c r="E188">
        <v>70</v>
      </c>
      <c r="F188">
        <v>47.33</v>
      </c>
      <c r="G188">
        <v>4.1600149999999996</v>
      </c>
      <c r="H188">
        <v>6.8</v>
      </c>
      <c r="I188">
        <v>1030700</v>
      </c>
      <c r="J188">
        <v>10.34</v>
      </c>
    </row>
    <row r="189" spans="1:10" x14ac:dyDescent="0.35">
      <c r="A189" t="s">
        <v>162</v>
      </c>
      <c r="B189" t="s">
        <v>200</v>
      </c>
      <c r="C189" t="s">
        <v>211</v>
      </c>
      <c r="D189">
        <v>2018</v>
      </c>
      <c r="E189">
        <v>70</v>
      </c>
      <c r="F189">
        <v>47.67</v>
      </c>
      <c r="G189">
        <v>4.2707119999999996</v>
      </c>
      <c r="H189">
        <v>7.47</v>
      </c>
      <c r="I189">
        <v>1030700</v>
      </c>
      <c r="J189" t="s">
        <v>14</v>
      </c>
    </row>
    <row r="190" spans="1:10" x14ac:dyDescent="0.35">
      <c r="A190" t="s">
        <v>162</v>
      </c>
      <c r="B190" t="s">
        <v>200</v>
      </c>
      <c r="C190" t="s">
        <v>211</v>
      </c>
      <c r="D190">
        <v>2019</v>
      </c>
      <c r="E190">
        <v>70</v>
      </c>
      <c r="F190">
        <v>47.67</v>
      </c>
      <c r="G190">
        <v>4.3838489999999997</v>
      </c>
      <c r="H190">
        <v>8.07</v>
      </c>
      <c r="I190">
        <v>1030700</v>
      </c>
      <c r="J190">
        <v>10.42</v>
      </c>
    </row>
    <row r="191" spans="1:10" x14ac:dyDescent="0.35">
      <c r="A191" t="s">
        <v>162</v>
      </c>
      <c r="B191" t="s">
        <v>163</v>
      </c>
      <c r="C191" t="s">
        <v>164</v>
      </c>
      <c r="D191">
        <v>2019</v>
      </c>
      <c r="E191">
        <v>70.33</v>
      </c>
      <c r="F191">
        <v>44.33</v>
      </c>
      <c r="G191">
        <v>11.874838</v>
      </c>
      <c r="H191">
        <v>2.58</v>
      </c>
      <c r="I191">
        <v>25680</v>
      </c>
      <c r="J191" t="s">
        <v>14</v>
      </c>
    </row>
    <row r="192" spans="1:10" x14ac:dyDescent="0.35">
      <c r="A192" t="s">
        <v>162</v>
      </c>
      <c r="B192" t="s">
        <v>163</v>
      </c>
      <c r="C192" t="s">
        <v>164</v>
      </c>
      <c r="D192">
        <v>2020</v>
      </c>
      <c r="E192">
        <v>70.33</v>
      </c>
      <c r="F192">
        <v>44.33</v>
      </c>
      <c r="G192">
        <v>12.220227</v>
      </c>
      <c r="H192">
        <v>2.65</v>
      </c>
      <c r="I192">
        <v>25680</v>
      </c>
      <c r="J192">
        <v>1.03</v>
      </c>
    </row>
    <row r="193" spans="1:10" x14ac:dyDescent="0.35">
      <c r="A193" t="s">
        <v>162</v>
      </c>
      <c r="B193" t="s">
        <v>200</v>
      </c>
      <c r="C193" t="s">
        <v>211</v>
      </c>
      <c r="D193">
        <v>2020</v>
      </c>
      <c r="E193">
        <v>70.33</v>
      </c>
      <c r="F193">
        <v>48</v>
      </c>
      <c r="G193">
        <v>4.4986040000000003</v>
      </c>
      <c r="H193">
        <v>8.41</v>
      </c>
      <c r="I193">
        <v>1030700</v>
      </c>
      <c r="J193" t="s">
        <v>14</v>
      </c>
    </row>
    <row r="194" spans="1:10" x14ac:dyDescent="0.35">
      <c r="A194" t="s">
        <v>162</v>
      </c>
      <c r="B194" t="s">
        <v>200</v>
      </c>
      <c r="C194" t="s">
        <v>217</v>
      </c>
      <c r="D194">
        <v>2019</v>
      </c>
      <c r="E194">
        <v>70.33</v>
      </c>
      <c r="F194">
        <v>19.670000000000002</v>
      </c>
      <c r="G194">
        <v>8.2430939999999993</v>
      </c>
      <c r="H194">
        <v>7.22</v>
      </c>
      <c r="I194">
        <v>54390</v>
      </c>
      <c r="J194" t="s">
        <v>14</v>
      </c>
    </row>
    <row r="195" spans="1:10" x14ac:dyDescent="0.35">
      <c r="A195" t="s">
        <v>162</v>
      </c>
      <c r="B195" t="s">
        <v>200</v>
      </c>
      <c r="C195" t="s">
        <v>204</v>
      </c>
      <c r="D195">
        <v>2019</v>
      </c>
      <c r="E195">
        <v>70.67</v>
      </c>
      <c r="F195">
        <v>33.67</v>
      </c>
      <c r="G195" t="s">
        <v>14</v>
      </c>
      <c r="H195" t="s">
        <v>14</v>
      </c>
      <c r="I195" t="s">
        <v>14</v>
      </c>
      <c r="J195" t="s">
        <v>14</v>
      </c>
    </row>
    <row r="196" spans="1:10" x14ac:dyDescent="0.35">
      <c r="A196" t="s">
        <v>162</v>
      </c>
      <c r="B196" t="s">
        <v>200</v>
      </c>
      <c r="C196" t="s">
        <v>204</v>
      </c>
      <c r="D196">
        <v>2020</v>
      </c>
      <c r="E196">
        <v>70.67</v>
      </c>
      <c r="F196">
        <v>34.67</v>
      </c>
      <c r="G196" t="s">
        <v>14</v>
      </c>
      <c r="H196" t="s">
        <v>14</v>
      </c>
      <c r="I196" t="s">
        <v>14</v>
      </c>
      <c r="J196" t="s">
        <v>14</v>
      </c>
    </row>
    <row r="197" spans="1:10" x14ac:dyDescent="0.35">
      <c r="A197" t="s">
        <v>162</v>
      </c>
      <c r="B197" t="s">
        <v>200</v>
      </c>
      <c r="C197" t="s">
        <v>217</v>
      </c>
      <c r="D197">
        <v>2020</v>
      </c>
      <c r="E197">
        <v>70.67</v>
      </c>
      <c r="F197">
        <v>20</v>
      </c>
      <c r="G197">
        <v>8.4425799999999995</v>
      </c>
      <c r="H197">
        <v>7.57</v>
      </c>
      <c r="I197">
        <v>54390</v>
      </c>
      <c r="J197" t="s">
        <v>14</v>
      </c>
    </row>
    <row r="198" spans="1:10" x14ac:dyDescent="0.35">
      <c r="A198" t="s">
        <v>162</v>
      </c>
      <c r="B198" t="s">
        <v>200</v>
      </c>
      <c r="C198" t="s">
        <v>204</v>
      </c>
      <c r="D198">
        <v>2016</v>
      </c>
      <c r="E198">
        <v>71</v>
      </c>
      <c r="F198">
        <v>31.33</v>
      </c>
      <c r="G198" t="s">
        <v>14</v>
      </c>
      <c r="H198" t="s">
        <v>14</v>
      </c>
      <c r="I198" t="s">
        <v>14</v>
      </c>
      <c r="J198" t="s">
        <v>14</v>
      </c>
    </row>
    <row r="199" spans="1:10" x14ac:dyDescent="0.35">
      <c r="A199" t="s">
        <v>162</v>
      </c>
      <c r="B199" t="s">
        <v>200</v>
      </c>
      <c r="C199" t="s">
        <v>204</v>
      </c>
      <c r="D199">
        <v>2017</v>
      </c>
      <c r="E199">
        <v>71</v>
      </c>
      <c r="F199">
        <v>32</v>
      </c>
      <c r="G199" t="s">
        <v>14</v>
      </c>
      <c r="H199" t="s">
        <v>14</v>
      </c>
      <c r="I199" t="s">
        <v>14</v>
      </c>
      <c r="J199" t="s">
        <v>14</v>
      </c>
    </row>
    <row r="200" spans="1:10" x14ac:dyDescent="0.35">
      <c r="A200" t="s">
        <v>162</v>
      </c>
      <c r="B200" t="s">
        <v>200</v>
      </c>
      <c r="C200" t="s">
        <v>204</v>
      </c>
      <c r="D200">
        <v>2018</v>
      </c>
      <c r="E200">
        <v>71</v>
      </c>
      <c r="F200">
        <v>33</v>
      </c>
      <c r="G200" t="s">
        <v>14</v>
      </c>
      <c r="H200" t="s">
        <v>14</v>
      </c>
      <c r="I200" t="s">
        <v>14</v>
      </c>
      <c r="J200" t="s">
        <v>14</v>
      </c>
    </row>
    <row r="201" spans="1:10" x14ac:dyDescent="0.35">
      <c r="A201" t="s">
        <v>162</v>
      </c>
      <c r="B201" t="s">
        <v>200</v>
      </c>
      <c r="C201" t="s">
        <v>213</v>
      </c>
      <c r="D201">
        <v>2016</v>
      </c>
      <c r="E201">
        <v>71</v>
      </c>
      <c r="F201">
        <v>39.33</v>
      </c>
      <c r="G201">
        <v>188.66693100000001</v>
      </c>
      <c r="H201">
        <v>404.65</v>
      </c>
      <c r="I201">
        <v>910770</v>
      </c>
      <c r="J201">
        <v>7.06</v>
      </c>
    </row>
    <row r="202" spans="1:10" x14ac:dyDescent="0.35">
      <c r="A202" t="s">
        <v>162</v>
      </c>
      <c r="B202" t="s">
        <v>163</v>
      </c>
      <c r="C202" t="s">
        <v>171</v>
      </c>
      <c r="D202">
        <v>2015</v>
      </c>
      <c r="E202">
        <v>71.33</v>
      </c>
      <c r="F202">
        <v>27.67</v>
      </c>
      <c r="G202">
        <v>16.938942000000001</v>
      </c>
      <c r="H202">
        <v>6.37</v>
      </c>
      <c r="I202">
        <v>94280</v>
      </c>
      <c r="J202" t="s">
        <v>14</v>
      </c>
    </row>
    <row r="203" spans="1:10" x14ac:dyDescent="0.35">
      <c r="A203" t="s">
        <v>162</v>
      </c>
      <c r="B203" t="s">
        <v>200</v>
      </c>
      <c r="C203" t="s">
        <v>204</v>
      </c>
      <c r="D203">
        <v>2015</v>
      </c>
      <c r="E203">
        <v>71.33</v>
      </c>
      <c r="F203">
        <v>30.67</v>
      </c>
      <c r="G203" t="s">
        <v>14</v>
      </c>
      <c r="H203" t="s">
        <v>14</v>
      </c>
      <c r="I203" t="s">
        <v>14</v>
      </c>
      <c r="J203" t="s">
        <v>14</v>
      </c>
    </row>
    <row r="204" spans="1:10" x14ac:dyDescent="0.35">
      <c r="A204" t="s">
        <v>162</v>
      </c>
      <c r="B204" t="s">
        <v>163</v>
      </c>
      <c r="C204" t="s">
        <v>171</v>
      </c>
      <c r="D204">
        <v>2016</v>
      </c>
      <c r="E204">
        <v>72</v>
      </c>
      <c r="F204">
        <v>27.67</v>
      </c>
      <c r="G204">
        <v>17.405624</v>
      </c>
      <c r="H204">
        <v>5.43</v>
      </c>
      <c r="I204">
        <v>94280</v>
      </c>
      <c r="J204" t="s">
        <v>14</v>
      </c>
    </row>
    <row r="205" spans="1:10" x14ac:dyDescent="0.35">
      <c r="A205" t="s">
        <v>162</v>
      </c>
      <c r="B205" t="s">
        <v>184</v>
      </c>
      <c r="C205" t="s">
        <v>192</v>
      </c>
      <c r="D205">
        <v>2015</v>
      </c>
      <c r="E205">
        <v>72</v>
      </c>
      <c r="F205">
        <v>46.33</v>
      </c>
      <c r="G205">
        <v>2.0285169999999999</v>
      </c>
      <c r="H205">
        <v>14.38</v>
      </c>
      <c r="I205">
        <v>257670</v>
      </c>
      <c r="J205" t="s">
        <v>14</v>
      </c>
    </row>
    <row r="206" spans="1:10" x14ac:dyDescent="0.35">
      <c r="A206" t="s">
        <v>10</v>
      </c>
      <c r="B206" t="s">
        <v>18</v>
      </c>
      <c r="C206" t="s">
        <v>19</v>
      </c>
      <c r="D206">
        <v>2017</v>
      </c>
      <c r="E206">
        <v>72.33</v>
      </c>
      <c r="F206">
        <v>49.33</v>
      </c>
      <c r="G206">
        <v>35.643417999999997</v>
      </c>
      <c r="H206">
        <v>18.899999999999999</v>
      </c>
      <c r="I206">
        <v>652230</v>
      </c>
      <c r="J206">
        <v>11.18</v>
      </c>
    </row>
    <row r="207" spans="1:10" x14ac:dyDescent="0.35">
      <c r="A207" t="s">
        <v>134</v>
      </c>
      <c r="B207" t="s">
        <v>138</v>
      </c>
      <c r="C207" t="s">
        <v>142</v>
      </c>
      <c r="D207">
        <v>2018</v>
      </c>
      <c r="E207">
        <v>72.33</v>
      </c>
      <c r="F207">
        <v>44.33</v>
      </c>
      <c r="G207">
        <v>0.65924899999999997</v>
      </c>
      <c r="H207">
        <v>1.62</v>
      </c>
      <c r="I207">
        <v>27990</v>
      </c>
      <c r="J207" t="s">
        <v>14</v>
      </c>
    </row>
    <row r="208" spans="1:10" x14ac:dyDescent="0.35">
      <c r="A208" t="s">
        <v>134</v>
      </c>
      <c r="B208" t="s">
        <v>138</v>
      </c>
      <c r="C208" t="s">
        <v>142</v>
      </c>
      <c r="D208">
        <v>2019</v>
      </c>
      <c r="E208">
        <v>72.33</v>
      </c>
      <c r="F208">
        <v>44.33</v>
      </c>
      <c r="G208">
        <v>0.67499299999999995</v>
      </c>
      <c r="H208">
        <v>1.62</v>
      </c>
      <c r="I208">
        <v>27990</v>
      </c>
      <c r="J208" t="s">
        <v>14</v>
      </c>
    </row>
    <row r="209" spans="1:10" x14ac:dyDescent="0.35">
      <c r="A209" t="s">
        <v>134</v>
      </c>
      <c r="B209" t="s">
        <v>138</v>
      </c>
      <c r="C209" t="s">
        <v>142</v>
      </c>
      <c r="D209">
        <v>2020</v>
      </c>
      <c r="E209">
        <v>72.33</v>
      </c>
      <c r="F209">
        <v>44.67</v>
      </c>
      <c r="G209">
        <v>0.691191</v>
      </c>
      <c r="H209">
        <v>1.54</v>
      </c>
      <c r="I209">
        <v>27990</v>
      </c>
      <c r="J209" t="s">
        <v>14</v>
      </c>
    </row>
    <row r="210" spans="1:10" x14ac:dyDescent="0.35">
      <c r="A210" t="s">
        <v>162</v>
      </c>
      <c r="B210" t="s">
        <v>184</v>
      </c>
      <c r="C210" t="s">
        <v>192</v>
      </c>
      <c r="D210">
        <v>2016</v>
      </c>
      <c r="E210">
        <v>72.33</v>
      </c>
      <c r="F210">
        <v>46.33</v>
      </c>
      <c r="G210">
        <v>2.0862059999999998</v>
      </c>
      <c r="H210">
        <v>14.02</v>
      </c>
      <c r="I210">
        <v>257670</v>
      </c>
      <c r="J210" t="s">
        <v>14</v>
      </c>
    </row>
    <row r="211" spans="1:10" x14ac:dyDescent="0.35">
      <c r="A211" t="s">
        <v>162</v>
      </c>
      <c r="B211" t="s">
        <v>200</v>
      </c>
      <c r="C211" t="s">
        <v>213</v>
      </c>
      <c r="D211">
        <v>2017</v>
      </c>
      <c r="E211">
        <v>72.33</v>
      </c>
      <c r="F211">
        <v>40</v>
      </c>
      <c r="G211">
        <v>193.49590699999999</v>
      </c>
      <c r="H211">
        <v>375.75</v>
      </c>
      <c r="I211">
        <v>910770</v>
      </c>
      <c r="J211">
        <v>8.39</v>
      </c>
    </row>
    <row r="212" spans="1:10" x14ac:dyDescent="0.35">
      <c r="A212" t="s">
        <v>162</v>
      </c>
      <c r="B212" t="s">
        <v>163</v>
      </c>
      <c r="C212" t="s">
        <v>171</v>
      </c>
      <c r="D212">
        <v>2017</v>
      </c>
      <c r="E212">
        <v>72.67</v>
      </c>
      <c r="F212">
        <v>28</v>
      </c>
      <c r="G212">
        <v>17.881167000000001</v>
      </c>
      <c r="H212">
        <v>8.94</v>
      </c>
      <c r="I212">
        <v>94280</v>
      </c>
      <c r="J212">
        <v>3.54</v>
      </c>
    </row>
    <row r="213" spans="1:10" x14ac:dyDescent="0.35">
      <c r="A213" t="s">
        <v>162</v>
      </c>
      <c r="B213" t="s">
        <v>200</v>
      </c>
      <c r="C213" t="s">
        <v>209</v>
      </c>
      <c r="D213">
        <v>2015</v>
      </c>
      <c r="E213">
        <v>72.67</v>
      </c>
      <c r="F213">
        <v>17</v>
      </c>
      <c r="G213">
        <v>4.6123289999999999</v>
      </c>
      <c r="H213">
        <v>3.23</v>
      </c>
      <c r="I213">
        <v>96320</v>
      </c>
      <c r="J213" t="s">
        <v>14</v>
      </c>
    </row>
    <row r="214" spans="1:10" x14ac:dyDescent="0.35">
      <c r="A214" t="s">
        <v>162</v>
      </c>
      <c r="B214" t="s">
        <v>184</v>
      </c>
      <c r="C214" t="s">
        <v>192</v>
      </c>
      <c r="D214">
        <v>2017</v>
      </c>
      <c r="E214">
        <v>73</v>
      </c>
      <c r="F214">
        <v>46.33</v>
      </c>
      <c r="G214">
        <v>2.140215</v>
      </c>
      <c r="H214">
        <v>14.93</v>
      </c>
      <c r="I214">
        <v>257670</v>
      </c>
      <c r="J214" t="s">
        <v>14</v>
      </c>
    </row>
    <row r="215" spans="1:10" x14ac:dyDescent="0.35">
      <c r="A215" t="s">
        <v>162</v>
      </c>
      <c r="B215" t="s">
        <v>184</v>
      </c>
      <c r="C215" t="s">
        <v>192</v>
      </c>
      <c r="D215">
        <v>2018</v>
      </c>
      <c r="E215">
        <v>73</v>
      </c>
      <c r="F215">
        <v>46.67</v>
      </c>
      <c r="G215">
        <v>2.1920120000000001</v>
      </c>
      <c r="H215">
        <v>16.87</v>
      </c>
      <c r="I215">
        <v>257670</v>
      </c>
      <c r="J215" t="s">
        <v>14</v>
      </c>
    </row>
    <row r="216" spans="1:10" x14ac:dyDescent="0.35">
      <c r="A216" t="s">
        <v>162</v>
      </c>
      <c r="B216" t="s">
        <v>200</v>
      </c>
      <c r="C216" t="s">
        <v>209</v>
      </c>
      <c r="D216">
        <v>2016</v>
      </c>
      <c r="E216">
        <v>73</v>
      </c>
      <c r="F216">
        <v>17.329999999999998</v>
      </c>
      <c r="G216">
        <v>4.7060969999999998</v>
      </c>
      <c r="H216">
        <v>3.4</v>
      </c>
      <c r="I216">
        <v>96320</v>
      </c>
      <c r="J216">
        <v>3.08</v>
      </c>
    </row>
    <row r="217" spans="1:10" x14ac:dyDescent="0.35">
      <c r="A217" t="s">
        <v>28</v>
      </c>
      <c r="B217" t="s">
        <v>35</v>
      </c>
      <c r="C217" t="s">
        <v>37</v>
      </c>
      <c r="D217">
        <v>2015</v>
      </c>
      <c r="E217">
        <v>73.33</v>
      </c>
      <c r="F217">
        <v>60.33</v>
      </c>
      <c r="G217">
        <v>15.417522999999999</v>
      </c>
      <c r="H217">
        <v>18.05</v>
      </c>
      <c r="I217">
        <v>176520</v>
      </c>
      <c r="J217">
        <v>0.39</v>
      </c>
    </row>
    <row r="218" spans="1:10" x14ac:dyDescent="0.35">
      <c r="A218" t="s">
        <v>134</v>
      </c>
      <c r="B218" t="s">
        <v>138</v>
      </c>
      <c r="C218" t="s">
        <v>142</v>
      </c>
      <c r="D218">
        <v>2017</v>
      </c>
      <c r="E218">
        <v>73.33</v>
      </c>
      <c r="F218">
        <v>44</v>
      </c>
      <c r="G218">
        <v>0.64363400000000004</v>
      </c>
      <c r="H218">
        <v>1.47</v>
      </c>
      <c r="I218">
        <v>27990</v>
      </c>
      <c r="J218" t="s">
        <v>14</v>
      </c>
    </row>
    <row r="219" spans="1:10" x14ac:dyDescent="0.35">
      <c r="A219" t="s">
        <v>162</v>
      </c>
      <c r="B219" t="s">
        <v>163</v>
      </c>
      <c r="C219" t="s">
        <v>171</v>
      </c>
      <c r="D219">
        <v>2018</v>
      </c>
      <c r="E219">
        <v>73.33</v>
      </c>
      <c r="F219">
        <v>28</v>
      </c>
      <c r="G219">
        <v>18.367882999999999</v>
      </c>
      <c r="H219">
        <v>9.8800000000000008</v>
      </c>
      <c r="I219">
        <v>94280</v>
      </c>
      <c r="J219" t="s">
        <v>14</v>
      </c>
    </row>
    <row r="220" spans="1:10" x14ac:dyDescent="0.35">
      <c r="A220" t="s">
        <v>162</v>
      </c>
      <c r="B220" t="s">
        <v>184</v>
      </c>
      <c r="C220" t="s">
        <v>192</v>
      </c>
      <c r="D220">
        <v>2019</v>
      </c>
      <c r="E220">
        <v>73.33</v>
      </c>
      <c r="F220">
        <v>47</v>
      </c>
      <c r="G220">
        <v>2.242785</v>
      </c>
      <c r="H220">
        <v>16.87</v>
      </c>
      <c r="I220">
        <v>257670</v>
      </c>
      <c r="J220" t="s">
        <v>14</v>
      </c>
    </row>
    <row r="221" spans="1:10" x14ac:dyDescent="0.35">
      <c r="A221" t="s">
        <v>162</v>
      </c>
      <c r="B221" t="s">
        <v>184</v>
      </c>
      <c r="C221" t="s">
        <v>192</v>
      </c>
      <c r="D221">
        <v>2020</v>
      </c>
      <c r="E221">
        <v>73.33</v>
      </c>
      <c r="F221">
        <v>47</v>
      </c>
      <c r="G221">
        <v>2.292573</v>
      </c>
      <c r="H221">
        <v>15.31</v>
      </c>
      <c r="I221">
        <v>257670</v>
      </c>
      <c r="J221" t="s">
        <v>14</v>
      </c>
    </row>
    <row r="222" spans="1:10" x14ac:dyDescent="0.35">
      <c r="A222" t="s">
        <v>162</v>
      </c>
      <c r="B222" t="s">
        <v>194</v>
      </c>
      <c r="C222" t="s">
        <v>196</v>
      </c>
      <c r="D222">
        <v>2015</v>
      </c>
      <c r="E222">
        <v>73.33</v>
      </c>
      <c r="F222">
        <v>59.33</v>
      </c>
      <c r="G222">
        <v>1.1339360000000001</v>
      </c>
      <c r="H222">
        <v>4.0599999999999996</v>
      </c>
      <c r="I222">
        <v>17200</v>
      </c>
      <c r="J222" t="s">
        <v>14</v>
      </c>
    </row>
    <row r="223" spans="1:10" x14ac:dyDescent="0.35">
      <c r="A223" t="s">
        <v>28</v>
      </c>
      <c r="B223" t="s">
        <v>35</v>
      </c>
      <c r="C223" t="s">
        <v>37</v>
      </c>
      <c r="D223">
        <v>2016</v>
      </c>
      <c r="E223">
        <v>73.67</v>
      </c>
      <c r="F223">
        <v>63</v>
      </c>
      <c r="G223">
        <v>15.624584</v>
      </c>
      <c r="H223">
        <v>20.02</v>
      </c>
      <c r="I223">
        <v>176520</v>
      </c>
      <c r="J223">
        <v>0.72</v>
      </c>
    </row>
    <row r="224" spans="1:10" x14ac:dyDescent="0.35">
      <c r="A224" t="s">
        <v>134</v>
      </c>
      <c r="B224" t="s">
        <v>144</v>
      </c>
      <c r="C224" t="s">
        <v>146</v>
      </c>
      <c r="D224">
        <v>2015</v>
      </c>
      <c r="E224">
        <v>73.67</v>
      </c>
      <c r="F224">
        <v>43</v>
      </c>
      <c r="G224">
        <v>0.11670700000000001</v>
      </c>
      <c r="H224">
        <v>0.17</v>
      </c>
      <c r="I224">
        <v>810</v>
      </c>
      <c r="J224">
        <v>9.33</v>
      </c>
    </row>
    <row r="225" spans="1:10" x14ac:dyDescent="0.35">
      <c r="A225" t="s">
        <v>162</v>
      </c>
      <c r="B225" t="s">
        <v>163</v>
      </c>
      <c r="C225" t="s">
        <v>171</v>
      </c>
      <c r="D225">
        <v>2019</v>
      </c>
      <c r="E225">
        <v>73.67</v>
      </c>
      <c r="F225">
        <v>28.33</v>
      </c>
      <c r="G225">
        <v>18.867336999999999</v>
      </c>
      <c r="H225">
        <v>11.03</v>
      </c>
      <c r="I225">
        <v>94280</v>
      </c>
      <c r="J225" t="s">
        <v>14</v>
      </c>
    </row>
    <row r="226" spans="1:10" x14ac:dyDescent="0.35">
      <c r="A226" t="s">
        <v>134</v>
      </c>
      <c r="B226" t="s">
        <v>138</v>
      </c>
      <c r="C226" t="s">
        <v>142</v>
      </c>
      <c r="D226">
        <v>2016</v>
      </c>
      <c r="E226">
        <v>74</v>
      </c>
      <c r="F226">
        <v>43.33</v>
      </c>
      <c r="G226">
        <v>0.62810200000000005</v>
      </c>
      <c r="H226">
        <v>1.38</v>
      </c>
      <c r="I226">
        <v>27990</v>
      </c>
      <c r="J226" t="s">
        <v>14</v>
      </c>
    </row>
    <row r="227" spans="1:10" x14ac:dyDescent="0.35">
      <c r="A227" t="s">
        <v>162</v>
      </c>
      <c r="B227" t="s">
        <v>194</v>
      </c>
      <c r="C227" t="s">
        <v>196</v>
      </c>
      <c r="D227">
        <v>2016</v>
      </c>
      <c r="E227">
        <v>74</v>
      </c>
      <c r="F227">
        <v>60</v>
      </c>
      <c r="G227">
        <v>1.1425240000000001</v>
      </c>
      <c r="H227">
        <v>3.82</v>
      </c>
      <c r="I227">
        <v>17200</v>
      </c>
      <c r="J227">
        <v>22.72</v>
      </c>
    </row>
    <row r="228" spans="1:10" x14ac:dyDescent="0.35">
      <c r="A228" t="s">
        <v>162</v>
      </c>
      <c r="B228" t="s">
        <v>200</v>
      </c>
      <c r="C228" t="s">
        <v>209</v>
      </c>
      <c r="D228">
        <v>2017</v>
      </c>
      <c r="E228">
        <v>74</v>
      </c>
      <c r="F228">
        <v>17.329999999999998</v>
      </c>
      <c r="G228">
        <v>4.7966309999999996</v>
      </c>
      <c r="H228">
        <v>3.39</v>
      </c>
      <c r="I228">
        <v>96320</v>
      </c>
      <c r="J228">
        <v>5.95</v>
      </c>
    </row>
    <row r="229" spans="1:10" x14ac:dyDescent="0.35">
      <c r="A229" t="s">
        <v>162</v>
      </c>
      <c r="B229" t="s">
        <v>200</v>
      </c>
      <c r="C229" t="s">
        <v>209</v>
      </c>
      <c r="D229">
        <v>2018</v>
      </c>
      <c r="E229">
        <v>74</v>
      </c>
      <c r="F229">
        <v>17.670000000000002</v>
      </c>
      <c r="G229">
        <v>4.8893909999999998</v>
      </c>
      <c r="H229">
        <v>3.42</v>
      </c>
      <c r="I229">
        <v>96320</v>
      </c>
      <c r="J229" t="s">
        <v>14</v>
      </c>
    </row>
    <row r="230" spans="1:10" x14ac:dyDescent="0.35">
      <c r="A230" t="s">
        <v>162</v>
      </c>
      <c r="B230" t="s">
        <v>200</v>
      </c>
      <c r="C230" t="s">
        <v>213</v>
      </c>
      <c r="D230">
        <v>2018</v>
      </c>
      <c r="E230">
        <v>74</v>
      </c>
      <c r="F230">
        <v>41</v>
      </c>
      <c r="G230">
        <v>198.38762299999999</v>
      </c>
      <c r="H230">
        <v>421.74</v>
      </c>
      <c r="I230">
        <v>910770</v>
      </c>
      <c r="J230" t="s">
        <v>14</v>
      </c>
    </row>
    <row r="231" spans="1:10" x14ac:dyDescent="0.35">
      <c r="A231" t="s">
        <v>28</v>
      </c>
      <c r="B231" t="s">
        <v>35</v>
      </c>
      <c r="C231" t="s">
        <v>37</v>
      </c>
      <c r="D231">
        <v>2017</v>
      </c>
      <c r="E231">
        <v>74.33</v>
      </c>
      <c r="F231">
        <v>65.67</v>
      </c>
      <c r="G231">
        <v>15.830689</v>
      </c>
      <c r="H231">
        <v>22.18</v>
      </c>
      <c r="I231">
        <v>176520</v>
      </c>
      <c r="J231">
        <v>0.14000000000000001</v>
      </c>
    </row>
    <row r="232" spans="1:10" x14ac:dyDescent="0.35">
      <c r="A232" t="s">
        <v>134</v>
      </c>
      <c r="B232" t="s">
        <v>138</v>
      </c>
      <c r="C232" t="s">
        <v>142</v>
      </c>
      <c r="D232">
        <v>2015</v>
      </c>
      <c r="E232">
        <v>74.33</v>
      </c>
      <c r="F232">
        <v>42.67</v>
      </c>
      <c r="G232">
        <v>0.61265999999999998</v>
      </c>
      <c r="H232">
        <v>1.31</v>
      </c>
      <c r="I232">
        <v>27990</v>
      </c>
      <c r="J232" t="s">
        <v>14</v>
      </c>
    </row>
    <row r="233" spans="1:10" x14ac:dyDescent="0.35">
      <c r="A233" t="s">
        <v>134</v>
      </c>
      <c r="B233" t="s">
        <v>144</v>
      </c>
      <c r="C233" t="s">
        <v>146</v>
      </c>
      <c r="D233">
        <v>2016</v>
      </c>
      <c r="E233">
        <v>74.33</v>
      </c>
      <c r="F233">
        <v>43.67</v>
      </c>
      <c r="G233">
        <v>0.11851299999999999</v>
      </c>
      <c r="H233">
        <v>0.18</v>
      </c>
      <c r="I233">
        <v>810</v>
      </c>
      <c r="J233" t="s">
        <v>14</v>
      </c>
    </row>
    <row r="234" spans="1:10" x14ac:dyDescent="0.35">
      <c r="A234" t="s">
        <v>162</v>
      </c>
      <c r="B234" t="s">
        <v>163</v>
      </c>
      <c r="C234" t="s">
        <v>171</v>
      </c>
      <c r="D234">
        <v>2020</v>
      </c>
      <c r="E234">
        <v>74.33</v>
      </c>
      <c r="F234">
        <v>28.67</v>
      </c>
      <c r="G234">
        <v>19.377061000000001</v>
      </c>
      <c r="H234">
        <v>12.18</v>
      </c>
      <c r="I234">
        <v>94280</v>
      </c>
      <c r="J234">
        <v>0.91</v>
      </c>
    </row>
    <row r="235" spans="1:10" x14ac:dyDescent="0.35">
      <c r="A235" t="s">
        <v>28</v>
      </c>
      <c r="B235" t="s">
        <v>35</v>
      </c>
      <c r="C235" t="s">
        <v>37</v>
      </c>
      <c r="D235">
        <v>2018</v>
      </c>
      <c r="E235">
        <v>74.67</v>
      </c>
      <c r="F235">
        <v>68.33</v>
      </c>
      <c r="G235">
        <v>16.025238000000002</v>
      </c>
      <c r="H235">
        <v>24.57</v>
      </c>
      <c r="I235">
        <v>176520</v>
      </c>
      <c r="J235" t="s">
        <v>14</v>
      </c>
    </row>
    <row r="236" spans="1:10" x14ac:dyDescent="0.35">
      <c r="A236" t="s">
        <v>162</v>
      </c>
      <c r="B236" t="s">
        <v>194</v>
      </c>
      <c r="C236" t="s">
        <v>197</v>
      </c>
      <c r="D236">
        <v>2015</v>
      </c>
      <c r="E236">
        <v>74.67</v>
      </c>
      <c r="F236">
        <v>40.67</v>
      </c>
      <c r="G236">
        <v>2.1185209999999999</v>
      </c>
      <c r="H236">
        <v>2.36</v>
      </c>
      <c r="I236">
        <v>30360</v>
      </c>
      <c r="J236" t="s">
        <v>14</v>
      </c>
    </row>
    <row r="237" spans="1:10" x14ac:dyDescent="0.35">
      <c r="A237" t="s">
        <v>134</v>
      </c>
      <c r="B237" t="s">
        <v>144</v>
      </c>
      <c r="C237" t="s">
        <v>146</v>
      </c>
      <c r="D237">
        <v>2017</v>
      </c>
      <c r="E237">
        <v>75</v>
      </c>
      <c r="F237">
        <v>44</v>
      </c>
      <c r="G237">
        <v>0.120362</v>
      </c>
      <c r="H237">
        <v>0.19</v>
      </c>
      <c r="I237">
        <v>810</v>
      </c>
      <c r="J237" t="s">
        <v>14</v>
      </c>
    </row>
    <row r="238" spans="1:10" x14ac:dyDescent="0.35">
      <c r="A238" t="s">
        <v>162</v>
      </c>
      <c r="B238" t="s">
        <v>194</v>
      </c>
      <c r="C238" t="s">
        <v>196</v>
      </c>
      <c r="D238">
        <v>2017</v>
      </c>
      <c r="E238">
        <v>75</v>
      </c>
      <c r="F238">
        <v>60</v>
      </c>
      <c r="G238">
        <v>1.1513899999999999</v>
      </c>
      <c r="H238">
        <v>4.4000000000000004</v>
      </c>
      <c r="I238">
        <v>17200</v>
      </c>
      <c r="J238" t="s">
        <v>14</v>
      </c>
    </row>
    <row r="239" spans="1:10" x14ac:dyDescent="0.35">
      <c r="A239" t="s">
        <v>162</v>
      </c>
      <c r="B239" t="s">
        <v>194</v>
      </c>
      <c r="C239" t="s">
        <v>197</v>
      </c>
      <c r="D239">
        <v>2016</v>
      </c>
      <c r="E239">
        <v>75</v>
      </c>
      <c r="F239">
        <v>42.67</v>
      </c>
      <c r="G239">
        <v>2.143872</v>
      </c>
      <c r="H239">
        <v>2.11</v>
      </c>
      <c r="I239">
        <v>30360</v>
      </c>
      <c r="J239" t="s">
        <v>14</v>
      </c>
    </row>
    <row r="240" spans="1:10" x14ac:dyDescent="0.35">
      <c r="A240" t="s">
        <v>162</v>
      </c>
      <c r="B240" t="s">
        <v>200</v>
      </c>
      <c r="C240" t="s">
        <v>209</v>
      </c>
      <c r="D240">
        <v>2019</v>
      </c>
      <c r="E240">
        <v>75</v>
      </c>
      <c r="F240">
        <v>17.670000000000002</v>
      </c>
      <c r="G240">
        <v>4.9852889999999999</v>
      </c>
      <c r="H240">
        <v>3.32</v>
      </c>
      <c r="I240">
        <v>96320</v>
      </c>
      <c r="J240" t="s">
        <v>14</v>
      </c>
    </row>
    <row r="241" spans="1:10" x14ac:dyDescent="0.35">
      <c r="A241" t="s">
        <v>162</v>
      </c>
      <c r="B241" t="s">
        <v>200</v>
      </c>
      <c r="C241" t="s">
        <v>209</v>
      </c>
      <c r="D241">
        <v>2020</v>
      </c>
      <c r="E241">
        <v>75</v>
      </c>
      <c r="F241">
        <v>17.670000000000002</v>
      </c>
      <c r="G241">
        <v>5.0875839999999997</v>
      </c>
      <c r="H241">
        <v>3.04</v>
      </c>
      <c r="I241">
        <v>96320</v>
      </c>
      <c r="J241" t="s">
        <v>14</v>
      </c>
    </row>
    <row r="242" spans="1:10" x14ac:dyDescent="0.35">
      <c r="A242" t="s">
        <v>10</v>
      </c>
      <c r="B242" t="s">
        <v>18</v>
      </c>
      <c r="C242" t="s">
        <v>19</v>
      </c>
      <c r="D242">
        <v>2018</v>
      </c>
      <c r="E242">
        <v>75.33</v>
      </c>
      <c r="F242">
        <v>50.67</v>
      </c>
      <c r="G242">
        <v>36.686784000000003</v>
      </c>
      <c r="H242">
        <v>18.420000000000002</v>
      </c>
      <c r="I242">
        <v>652230</v>
      </c>
      <c r="J242" t="s">
        <v>14</v>
      </c>
    </row>
    <row r="243" spans="1:10" x14ac:dyDescent="0.35">
      <c r="A243" t="s">
        <v>28</v>
      </c>
      <c r="B243" t="s">
        <v>35</v>
      </c>
      <c r="C243" t="s">
        <v>37</v>
      </c>
      <c r="D243">
        <v>2019</v>
      </c>
      <c r="E243">
        <v>75.33</v>
      </c>
      <c r="F243">
        <v>71.67</v>
      </c>
      <c r="G243">
        <v>16.207746</v>
      </c>
      <c r="H243">
        <v>27.09</v>
      </c>
      <c r="I243">
        <v>176520</v>
      </c>
      <c r="J243">
        <v>0.5</v>
      </c>
    </row>
    <row r="244" spans="1:10" x14ac:dyDescent="0.35">
      <c r="A244" t="s">
        <v>28</v>
      </c>
      <c r="B244" t="s">
        <v>35</v>
      </c>
      <c r="C244" t="s">
        <v>37</v>
      </c>
      <c r="D244">
        <v>2020</v>
      </c>
      <c r="E244">
        <v>75.33</v>
      </c>
      <c r="F244">
        <v>74.33</v>
      </c>
      <c r="G244">
        <v>16.39686</v>
      </c>
      <c r="H244">
        <v>25.87</v>
      </c>
      <c r="I244">
        <v>176520</v>
      </c>
      <c r="J244" t="s">
        <v>14</v>
      </c>
    </row>
    <row r="245" spans="1:10" x14ac:dyDescent="0.35">
      <c r="A245" t="s">
        <v>134</v>
      </c>
      <c r="B245" t="s">
        <v>144</v>
      </c>
      <c r="C245" t="s">
        <v>146</v>
      </c>
      <c r="D245">
        <v>2018</v>
      </c>
      <c r="E245">
        <v>75.33</v>
      </c>
      <c r="F245">
        <v>44.33</v>
      </c>
      <c r="G245">
        <v>0.12226099999999999</v>
      </c>
      <c r="H245">
        <v>0.2</v>
      </c>
      <c r="I245">
        <v>810</v>
      </c>
      <c r="J245" t="s">
        <v>14</v>
      </c>
    </row>
    <row r="246" spans="1:10" x14ac:dyDescent="0.35">
      <c r="A246" t="s">
        <v>162</v>
      </c>
      <c r="B246" t="s">
        <v>194</v>
      </c>
      <c r="C246" t="s">
        <v>197</v>
      </c>
      <c r="D246">
        <v>2017</v>
      </c>
      <c r="E246">
        <v>75.33</v>
      </c>
      <c r="F246">
        <v>44.67</v>
      </c>
      <c r="G246">
        <v>2.170617</v>
      </c>
      <c r="H246">
        <v>2.31</v>
      </c>
      <c r="I246">
        <v>30360</v>
      </c>
      <c r="J246" t="s">
        <v>14</v>
      </c>
    </row>
    <row r="247" spans="1:10" x14ac:dyDescent="0.35">
      <c r="A247" t="s">
        <v>28</v>
      </c>
      <c r="B247" t="s">
        <v>29</v>
      </c>
      <c r="C247" t="s">
        <v>33</v>
      </c>
      <c r="D247">
        <v>2015</v>
      </c>
      <c r="E247">
        <v>75.67</v>
      </c>
      <c r="F247">
        <v>58.67</v>
      </c>
      <c r="G247">
        <v>2.9647489999999999</v>
      </c>
      <c r="H247">
        <v>11.62</v>
      </c>
      <c r="I247">
        <v>1557255.4</v>
      </c>
      <c r="J247">
        <v>4.8600000000000003</v>
      </c>
    </row>
    <row r="248" spans="1:10" x14ac:dyDescent="0.35">
      <c r="A248" t="s">
        <v>162</v>
      </c>
      <c r="B248" t="s">
        <v>194</v>
      </c>
      <c r="C248" t="s">
        <v>196</v>
      </c>
      <c r="D248">
        <v>2018</v>
      </c>
      <c r="E248">
        <v>75.67</v>
      </c>
      <c r="F248">
        <v>60.67</v>
      </c>
      <c r="G248">
        <v>1.160428</v>
      </c>
      <c r="H248">
        <v>4.67</v>
      </c>
      <c r="I248">
        <v>17200</v>
      </c>
      <c r="J248" t="s">
        <v>14</v>
      </c>
    </row>
    <row r="249" spans="1:10" x14ac:dyDescent="0.35">
      <c r="A249" t="s">
        <v>162</v>
      </c>
      <c r="B249" t="s">
        <v>200</v>
      </c>
      <c r="C249" t="s">
        <v>213</v>
      </c>
      <c r="D249">
        <v>2019</v>
      </c>
      <c r="E249">
        <v>75.67</v>
      </c>
      <c r="F249">
        <v>41.67</v>
      </c>
      <c r="G249">
        <v>203.30449200000001</v>
      </c>
      <c r="H249">
        <v>448.12</v>
      </c>
      <c r="I249">
        <v>910770</v>
      </c>
      <c r="J249">
        <v>10.7</v>
      </c>
    </row>
    <row r="250" spans="1:10" x14ac:dyDescent="0.35">
      <c r="A250" t="s">
        <v>134</v>
      </c>
      <c r="B250" t="s">
        <v>144</v>
      </c>
      <c r="C250" t="s">
        <v>146</v>
      </c>
      <c r="D250">
        <v>2019</v>
      </c>
      <c r="E250">
        <v>76</v>
      </c>
      <c r="F250">
        <v>44.67</v>
      </c>
      <c r="G250">
        <v>0.124241</v>
      </c>
      <c r="H250">
        <v>0.18</v>
      </c>
      <c r="I250">
        <v>810</v>
      </c>
      <c r="J250">
        <v>8.56</v>
      </c>
    </row>
    <row r="251" spans="1:10" x14ac:dyDescent="0.35">
      <c r="A251" t="s">
        <v>162</v>
      </c>
      <c r="B251" t="s">
        <v>184</v>
      </c>
      <c r="C251" t="s">
        <v>193</v>
      </c>
      <c r="D251">
        <v>2015</v>
      </c>
      <c r="E251">
        <v>76</v>
      </c>
      <c r="F251">
        <v>39</v>
      </c>
      <c r="G251">
        <v>0.201124</v>
      </c>
      <c r="H251">
        <v>0.32</v>
      </c>
      <c r="I251">
        <v>960</v>
      </c>
      <c r="J251" t="s">
        <v>14</v>
      </c>
    </row>
    <row r="252" spans="1:10" x14ac:dyDescent="0.35">
      <c r="A252" t="s">
        <v>162</v>
      </c>
      <c r="B252" t="s">
        <v>194</v>
      </c>
      <c r="C252" t="s">
        <v>197</v>
      </c>
      <c r="D252">
        <v>2018</v>
      </c>
      <c r="E252">
        <v>76</v>
      </c>
      <c r="F252">
        <v>46.33</v>
      </c>
      <c r="G252">
        <v>2.1980170000000001</v>
      </c>
      <c r="H252">
        <v>2.5499999999999998</v>
      </c>
      <c r="I252">
        <v>30360</v>
      </c>
      <c r="J252" t="s">
        <v>14</v>
      </c>
    </row>
    <row r="253" spans="1:10" x14ac:dyDescent="0.35">
      <c r="A253" t="s">
        <v>162</v>
      </c>
      <c r="B253" t="s">
        <v>194</v>
      </c>
      <c r="C253" t="s">
        <v>197</v>
      </c>
      <c r="D253">
        <v>2019</v>
      </c>
      <c r="E253">
        <v>76</v>
      </c>
      <c r="F253">
        <v>47.67</v>
      </c>
      <c r="G253">
        <v>2.2257020000000001</v>
      </c>
      <c r="H253">
        <v>2.4500000000000002</v>
      </c>
      <c r="I253">
        <v>30360</v>
      </c>
      <c r="J253">
        <v>16.88</v>
      </c>
    </row>
    <row r="254" spans="1:10" x14ac:dyDescent="0.35">
      <c r="A254" t="s">
        <v>162</v>
      </c>
      <c r="B254" t="s">
        <v>200</v>
      </c>
      <c r="C254" t="s">
        <v>210</v>
      </c>
      <c r="D254">
        <v>2015</v>
      </c>
      <c r="E254">
        <v>76</v>
      </c>
      <c r="F254">
        <v>38.67</v>
      </c>
      <c r="G254">
        <v>18.112907</v>
      </c>
      <c r="H254">
        <v>13.1</v>
      </c>
      <c r="I254">
        <v>1220190</v>
      </c>
      <c r="J254">
        <v>7.73</v>
      </c>
    </row>
    <row r="255" spans="1:10" x14ac:dyDescent="0.35">
      <c r="A255" t="s">
        <v>28</v>
      </c>
      <c r="B255" t="s">
        <v>35</v>
      </c>
      <c r="C255" t="s">
        <v>41</v>
      </c>
      <c r="D255">
        <v>2015</v>
      </c>
      <c r="E255">
        <v>76.33</v>
      </c>
      <c r="F255">
        <v>73</v>
      </c>
      <c r="G255">
        <v>51.483949000000003</v>
      </c>
      <c r="H255">
        <v>63.05</v>
      </c>
      <c r="I255">
        <v>653080</v>
      </c>
      <c r="J255">
        <v>0.77</v>
      </c>
    </row>
    <row r="256" spans="1:10" x14ac:dyDescent="0.35">
      <c r="A256" t="s">
        <v>162</v>
      </c>
      <c r="B256" t="s">
        <v>194</v>
      </c>
      <c r="C256" t="s">
        <v>197</v>
      </c>
      <c r="D256">
        <v>2020</v>
      </c>
      <c r="E256">
        <v>76.33</v>
      </c>
      <c r="F256">
        <v>49.67</v>
      </c>
      <c r="G256">
        <v>2.2541000000000002</v>
      </c>
      <c r="H256">
        <v>2.23</v>
      </c>
      <c r="I256">
        <v>30360</v>
      </c>
      <c r="J256" t="s">
        <v>14</v>
      </c>
    </row>
    <row r="257" spans="1:10" x14ac:dyDescent="0.35">
      <c r="A257" t="s">
        <v>162</v>
      </c>
      <c r="B257" t="s">
        <v>184</v>
      </c>
      <c r="C257" t="s">
        <v>193</v>
      </c>
      <c r="D257">
        <v>2016</v>
      </c>
      <c r="E257">
        <v>76.67</v>
      </c>
      <c r="F257">
        <v>40.33</v>
      </c>
      <c r="G257">
        <v>0.20463200000000001</v>
      </c>
      <c r="H257">
        <v>0.35</v>
      </c>
      <c r="I257">
        <v>960</v>
      </c>
      <c r="J257" t="s">
        <v>14</v>
      </c>
    </row>
    <row r="258" spans="1:10" x14ac:dyDescent="0.35">
      <c r="A258" t="s">
        <v>162</v>
      </c>
      <c r="B258" t="s">
        <v>194</v>
      </c>
      <c r="C258" t="s">
        <v>196</v>
      </c>
      <c r="D258">
        <v>2019</v>
      </c>
      <c r="E258">
        <v>76.67</v>
      </c>
      <c r="F258">
        <v>61.33</v>
      </c>
      <c r="G258">
        <v>1.169613</v>
      </c>
      <c r="H258">
        <v>4.5</v>
      </c>
      <c r="I258">
        <v>17200</v>
      </c>
      <c r="J258" t="s">
        <v>14</v>
      </c>
    </row>
    <row r="259" spans="1:10" x14ac:dyDescent="0.35">
      <c r="A259" t="s">
        <v>162</v>
      </c>
      <c r="B259" t="s">
        <v>194</v>
      </c>
      <c r="C259" t="s">
        <v>196</v>
      </c>
      <c r="D259">
        <v>2020</v>
      </c>
      <c r="E259">
        <v>76.67</v>
      </c>
      <c r="F259">
        <v>61.33</v>
      </c>
      <c r="G259">
        <v>1.180655</v>
      </c>
      <c r="H259">
        <v>3.98</v>
      </c>
      <c r="I259">
        <v>17200</v>
      </c>
      <c r="J259" t="s">
        <v>14</v>
      </c>
    </row>
    <row r="260" spans="1:10" x14ac:dyDescent="0.35">
      <c r="A260" t="s">
        <v>28</v>
      </c>
      <c r="B260" t="s">
        <v>29</v>
      </c>
      <c r="C260" t="s">
        <v>33</v>
      </c>
      <c r="D260">
        <v>2016</v>
      </c>
      <c r="E260">
        <v>77</v>
      </c>
      <c r="F260">
        <v>59.67</v>
      </c>
      <c r="G260">
        <v>3.0295550000000002</v>
      </c>
      <c r="H260">
        <v>11.18</v>
      </c>
      <c r="I260">
        <v>1557255.4</v>
      </c>
      <c r="J260">
        <v>7.24</v>
      </c>
    </row>
    <row r="261" spans="1:10" x14ac:dyDescent="0.35">
      <c r="A261" t="s">
        <v>134</v>
      </c>
      <c r="B261" t="s">
        <v>144</v>
      </c>
      <c r="C261" t="s">
        <v>146</v>
      </c>
      <c r="D261">
        <v>2020</v>
      </c>
      <c r="E261">
        <v>77</v>
      </c>
      <c r="F261">
        <v>45.33</v>
      </c>
      <c r="G261">
        <v>0.12646299999999999</v>
      </c>
      <c r="H261">
        <v>0.18</v>
      </c>
      <c r="I261">
        <v>810</v>
      </c>
      <c r="J261">
        <v>10.97</v>
      </c>
    </row>
    <row r="262" spans="1:10" x14ac:dyDescent="0.35">
      <c r="A262" t="s">
        <v>162</v>
      </c>
      <c r="B262" t="s">
        <v>184</v>
      </c>
      <c r="C262" t="s">
        <v>193</v>
      </c>
      <c r="D262">
        <v>2017</v>
      </c>
      <c r="E262">
        <v>77</v>
      </c>
      <c r="F262">
        <v>41.33</v>
      </c>
      <c r="G262">
        <v>0.208036</v>
      </c>
      <c r="H262">
        <v>0.38</v>
      </c>
      <c r="I262">
        <v>960</v>
      </c>
      <c r="J262" t="s">
        <v>14</v>
      </c>
    </row>
    <row r="263" spans="1:10" x14ac:dyDescent="0.35">
      <c r="A263" t="s">
        <v>162</v>
      </c>
      <c r="B263" t="s">
        <v>184</v>
      </c>
      <c r="C263" t="s">
        <v>193</v>
      </c>
      <c r="D263">
        <v>2018</v>
      </c>
      <c r="E263">
        <v>77</v>
      </c>
      <c r="F263">
        <v>42.67</v>
      </c>
      <c r="G263">
        <v>0.211344</v>
      </c>
      <c r="H263">
        <v>0.41</v>
      </c>
      <c r="I263">
        <v>960</v>
      </c>
      <c r="J263" t="s">
        <v>14</v>
      </c>
    </row>
    <row r="264" spans="1:10" x14ac:dyDescent="0.35">
      <c r="A264" t="s">
        <v>162</v>
      </c>
      <c r="B264" t="s">
        <v>184</v>
      </c>
      <c r="C264" t="s">
        <v>193</v>
      </c>
      <c r="D264">
        <v>2019</v>
      </c>
      <c r="E264">
        <v>77.33</v>
      </c>
      <c r="F264">
        <v>44.33</v>
      </c>
      <c r="G264">
        <v>0.21459900000000001</v>
      </c>
      <c r="H264">
        <v>0.43</v>
      </c>
      <c r="I264">
        <v>960</v>
      </c>
      <c r="J264" t="s">
        <v>14</v>
      </c>
    </row>
    <row r="265" spans="1:10" x14ac:dyDescent="0.35">
      <c r="A265" t="s">
        <v>162</v>
      </c>
      <c r="B265" t="s">
        <v>184</v>
      </c>
      <c r="C265" t="s">
        <v>193</v>
      </c>
      <c r="D265">
        <v>2020</v>
      </c>
      <c r="E265">
        <v>77.33</v>
      </c>
      <c r="F265">
        <v>46</v>
      </c>
      <c r="G265">
        <v>0.218641</v>
      </c>
      <c r="H265">
        <v>0.47</v>
      </c>
      <c r="I265">
        <v>960</v>
      </c>
      <c r="J265" t="s">
        <v>14</v>
      </c>
    </row>
    <row r="266" spans="1:10" x14ac:dyDescent="0.35">
      <c r="A266" t="s">
        <v>162</v>
      </c>
      <c r="B266" t="s">
        <v>200</v>
      </c>
      <c r="C266" t="s">
        <v>213</v>
      </c>
      <c r="D266">
        <v>2020</v>
      </c>
      <c r="E266">
        <v>77.33</v>
      </c>
      <c r="F266">
        <v>42.67</v>
      </c>
      <c r="G266">
        <v>208.327405</v>
      </c>
      <c r="H266">
        <v>432.2</v>
      </c>
      <c r="I266">
        <v>910770</v>
      </c>
      <c r="J266" t="s">
        <v>14</v>
      </c>
    </row>
    <row r="267" spans="1:10" x14ac:dyDescent="0.35">
      <c r="A267" t="s">
        <v>162</v>
      </c>
      <c r="B267" t="s">
        <v>200</v>
      </c>
      <c r="C267" t="s">
        <v>210</v>
      </c>
      <c r="D267">
        <v>2016</v>
      </c>
      <c r="E267">
        <v>77.67</v>
      </c>
      <c r="F267">
        <v>40</v>
      </c>
      <c r="G267">
        <v>18.700106000000002</v>
      </c>
      <c r="H267">
        <v>14.03</v>
      </c>
      <c r="I267">
        <v>1220190</v>
      </c>
      <c r="J267">
        <v>1.37</v>
      </c>
    </row>
    <row r="268" spans="1:10" x14ac:dyDescent="0.35">
      <c r="A268" t="s">
        <v>10</v>
      </c>
      <c r="B268" t="s">
        <v>18</v>
      </c>
      <c r="C268" t="s">
        <v>19</v>
      </c>
      <c r="D268">
        <v>2019</v>
      </c>
      <c r="E268">
        <v>78</v>
      </c>
      <c r="F268">
        <v>52.33</v>
      </c>
      <c r="G268">
        <v>37.769499000000003</v>
      </c>
      <c r="H268">
        <v>18.899999999999999</v>
      </c>
      <c r="I268">
        <v>652230</v>
      </c>
      <c r="J268" t="s">
        <v>14</v>
      </c>
    </row>
    <row r="269" spans="1:10" x14ac:dyDescent="0.35">
      <c r="A269" t="s">
        <v>28</v>
      </c>
      <c r="B269" t="s">
        <v>29</v>
      </c>
      <c r="C269" t="s">
        <v>33</v>
      </c>
      <c r="D269">
        <v>2017</v>
      </c>
      <c r="E269">
        <v>78</v>
      </c>
      <c r="F269">
        <v>61</v>
      </c>
      <c r="G269">
        <v>3.0960299999999998</v>
      </c>
      <c r="H269">
        <v>11.48</v>
      </c>
      <c r="I269">
        <v>1557255.4</v>
      </c>
      <c r="J269">
        <v>6.36</v>
      </c>
    </row>
    <row r="270" spans="1:10" x14ac:dyDescent="0.35">
      <c r="A270" t="s">
        <v>28</v>
      </c>
      <c r="B270" t="s">
        <v>35</v>
      </c>
      <c r="C270" t="s">
        <v>45</v>
      </c>
      <c r="D270">
        <v>2015</v>
      </c>
      <c r="E270">
        <v>78</v>
      </c>
      <c r="F270">
        <v>55</v>
      </c>
      <c r="G270">
        <v>1.205813</v>
      </c>
      <c r="H270">
        <v>1.59</v>
      </c>
      <c r="I270">
        <v>14870</v>
      </c>
      <c r="J270" t="s">
        <v>14</v>
      </c>
    </row>
    <row r="271" spans="1:10" x14ac:dyDescent="0.35">
      <c r="A271" t="s">
        <v>162</v>
      </c>
      <c r="B271" t="s">
        <v>200</v>
      </c>
      <c r="C271" t="s">
        <v>205</v>
      </c>
      <c r="D271">
        <v>2015</v>
      </c>
      <c r="E271">
        <v>78</v>
      </c>
      <c r="F271">
        <v>45</v>
      </c>
      <c r="G271" t="s">
        <v>14</v>
      </c>
      <c r="H271" t="s">
        <v>14</v>
      </c>
      <c r="I271" t="s">
        <v>14</v>
      </c>
      <c r="J271" t="s">
        <v>14</v>
      </c>
    </row>
    <row r="272" spans="1:10" x14ac:dyDescent="0.35">
      <c r="A272" t="s">
        <v>28</v>
      </c>
      <c r="B272" t="s">
        <v>35</v>
      </c>
      <c r="C272" t="s">
        <v>41</v>
      </c>
      <c r="D272">
        <v>2016</v>
      </c>
      <c r="E272">
        <v>78.33</v>
      </c>
      <c r="F272">
        <v>73.33</v>
      </c>
      <c r="G272">
        <v>51.892349000000003</v>
      </c>
      <c r="H272">
        <v>60.29</v>
      </c>
      <c r="I272">
        <v>652780</v>
      </c>
      <c r="J272" t="s">
        <v>14</v>
      </c>
    </row>
    <row r="273" spans="1:10" x14ac:dyDescent="0.35">
      <c r="A273" t="s">
        <v>162</v>
      </c>
      <c r="B273" t="s">
        <v>200</v>
      </c>
      <c r="C273" t="s">
        <v>205</v>
      </c>
      <c r="D273">
        <v>2016</v>
      </c>
      <c r="E273">
        <v>78.33</v>
      </c>
      <c r="F273">
        <v>45</v>
      </c>
      <c r="G273" t="s">
        <v>14</v>
      </c>
      <c r="H273" t="s">
        <v>14</v>
      </c>
      <c r="I273" t="s">
        <v>14</v>
      </c>
      <c r="J273" t="s">
        <v>14</v>
      </c>
    </row>
    <row r="274" spans="1:10" x14ac:dyDescent="0.35">
      <c r="A274" t="s">
        <v>162</v>
      </c>
      <c r="B274" t="s">
        <v>200</v>
      </c>
      <c r="C274" t="s">
        <v>205</v>
      </c>
      <c r="D274">
        <v>2017</v>
      </c>
      <c r="E274">
        <v>78.67</v>
      </c>
      <c r="F274">
        <v>44.67</v>
      </c>
      <c r="G274" t="s">
        <v>14</v>
      </c>
      <c r="H274" t="s">
        <v>14</v>
      </c>
      <c r="I274" t="s">
        <v>14</v>
      </c>
      <c r="J274" t="s">
        <v>14</v>
      </c>
    </row>
    <row r="275" spans="1:10" x14ac:dyDescent="0.35">
      <c r="A275" t="s">
        <v>162</v>
      </c>
      <c r="B275" t="s">
        <v>200</v>
      </c>
      <c r="C275" t="s">
        <v>205</v>
      </c>
      <c r="D275">
        <v>2018</v>
      </c>
      <c r="E275">
        <v>78.67</v>
      </c>
      <c r="F275">
        <v>44.67</v>
      </c>
      <c r="G275" t="s">
        <v>14</v>
      </c>
      <c r="H275" t="s">
        <v>14</v>
      </c>
      <c r="I275" t="s">
        <v>14</v>
      </c>
      <c r="J275" t="s">
        <v>14</v>
      </c>
    </row>
    <row r="276" spans="1:10" x14ac:dyDescent="0.35">
      <c r="A276" t="s">
        <v>28</v>
      </c>
      <c r="B276" t="s">
        <v>29</v>
      </c>
      <c r="C276" t="s">
        <v>33</v>
      </c>
      <c r="D276">
        <v>2018</v>
      </c>
      <c r="E276">
        <v>79</v>
      </c>
      <c r="F276">
        <v>62</v>
      </c>
      <c r="G276">
        <v>3.1639910000000002</v>
      </c>
      <c r="H276">
        <v>13.18</v>
      </c>
      <c r="I276">
        <v>1557255</v>
      </c>
      <c r="J276">
        <v>5.38</v>
      </c>
    </row>
    <row r="277" spans="1:10" x14ac:dyDescent="0.35">
      <c r="A277" t="s">
        <v>54</v>
      </c>
      <c r="B277" t="s">
        <v>83</v>
      </c>
      <c r="C277" t="s">
        <v>90</v>
      </c>
      <c r="D277">
        <v>2016</v>
      </c>
      <c r="E277">
        <v>79</v>
      </c>
      <c r="F277">
        <v>71.67</v>
      </c>
      <c r="G277">
        <v>6.3892350000000002</v>
      </c>
      <c r="H277">
        <v>13.29</v>
      </c>
      <c r="I277">
        <v>120340</v>
      </c>
      <c r="J277">
        <v>3.9</v>
      </c>
    </row>
    <row r="278" spans="1:10" x14ac:dyDescent="0.35">
      <c r="A278" t="s">
        <v>54</v>
      </c>
      <c r="B278" t="s">
        <v>83</v>
      </c>
      <c r="C278" t="s">
        <v>90</v>
      </c>
      <c r="D278">
        <v>2017</v>
      </c>
      <c r="E278">
        <v>79</v>
      </c>
      <c r="F278">
        <v>71.67</v>
      </c>
      <c r="G278">
        <v>6.4805320000000002</v>
      </c>
      <c r="H278">
        <v>13.79</v>
      </c>
      <c r="I278">
        <v>120340</v>
      </c>
      <c r="J278">
        <v>3.3</v>
      </c>
    </row>
    <row r="279" spans="1:10" x14ac:dyDescent="0.35">
      <c r="A279" t="s">
        <v>54</v>
      </c>
      <c r="B279" t="s">
        <v>83</v>
      </c>
      <c r="C279" t="s">
        <v>90</v>
      </c>
      <c r="D279">
        <v>2015</v>
      </c>
      <c r="E279">
        <v>79.33</v>
      </c>
      <c r="F279">
        <v>71</v>
      </c>
      <c r="G279">
        <v>6.2985980000000001</v>
      </c>
      <c r="H279">
        <v>12.76</v>
      </c>
      <c r="I279">
        <v>120340</v>
      </c>
      <c r="J279">
        <v>4.7</v>
      </c>
    </row>
    <row r="280" spans="1:10" x14ac:dyDescent="0.35">
      <c r="A280" t="s">
        <v>54</v>
      </c>
      <c r="B280" t="s">
        <v>83</v>
      </c>
      <c r="C280" t="s">
        <v>90</v>
      </c>
      <c r="D280">
        <v>2018</v>
      </c>
      <c r="E280">
        <v>79.33</v>
      </c>
      <c r="F280">
        <v>71.67</v>
      </c>
      <c r="G280">
        <v>6.5722329999999998</v>
      </c>
      <c r="H280">
        <v>13.03</v>
      </c>
      <c r="I280">
        <v>120340</v>
      </c>
      <c r="J280">
        <v>5.2</v>
      </c>
    </row>
    <row r="281" spans="1:10" x14ac:dyDescent="0.35">
      <c r="A281" t="s">
        <v>54</v>
      </c>
      <c r="B281" t="s">
        <v>83</v>
      </c>
      <c r="C281" t="s">
        <v>90</v>
      </c>
      <c r="D281">
        <v>2019</v>
      </c>
      <c r="E281">
        <v>79.33</v>
      </c>
      <c r="F281">
        <v>71.67</v>
      </c>
      <c r="G281">
        <v>6.6639239999999997</v>
      </c>
      <c r="H281">
        <v>12.6</v>
      </c>
      <c r="I281">
        <v>120340</v>
      </c>
      <c r="J281" t="s">
        <v>14</v>
      </c>
    </row>
    <row r="282" spans="1:10" x14ac:dyDescent="0.35">
      <c r="A282" t="s">
        <v>54</v>
      </c>
      <c r="B282" t="s">
        <v>83</v>
      </c>
      <c r="C282" t="s">
        <v>90</v>
      </c>
      <c r="D282">
        <v>2020</v>
      </c>
      <c r="E282">
        <v>79.33</v>
      </c>
      <c r="F282">
        <v>71.67</v>
      </c>
      <c r="G282">
        <v>6.7558949999999998</v>
      </c>
      <c r="H282">
        <v>12.59</v>
      </c>
      <c r="I282">
        <v>120340</v>
      </c>
      <c r="J282" t="s">
        <v>14</v>
      </c>
    </row>
    <row r="283" spans="1:10" x14ac:dyDescent="0.35">
      <c r="A283" t="s">
        <v>162</v>
      </c>
      <c r="B283" t="s">
        <v>200</v>
      </c>
      <c r="C283" t="s">
        <v>205</v>
      </c>
      <c r="D283">
        <v>2019</v>
      </c>
      <c r="E283">
        <v>79.33</v>
      </c>
      <c r="F283">
        <v>44.33</v>
      </c>
      <c r="G283" t="s">
        <v>14</v>
      </c>
      <c r="H283" t="s">
        <v>14</v>
      </c>
      <c r="I283" t="s">
        <v>14</v>
      </c>
      <c r="J283" t="s">
        <v>14</v>
      </c>
    </row>
    <row r="284" spans="1:10" x14ac:dyDescent="0.35">
      <c r="A284" t="s">
        <v>162</v>
      </c>
      <c r="B284" t="s">
        <v>200</v>
      </c>
      <c r="C284" t="s">
        <v>205</v>
      </c>
      <c r="D284">
        <v>2020</v>
      </c>
      <c r="E284">
        <v>79.33</v>
      </c>
      <c r="F284">
        <v>44.33</v>
      </c>
      <c r="G284" t="s">
        <v>14</v>
      </c>
      <c r="H284" t="s">
        <v>14</v>
      </c>
      <c r="I284" t="s">
        <v>14</v>
      </c>
      <c r="J284" t="s">
        <v>14</v>
      </c>
    </row>
    <row r="285" spans="1:10" x14ac:dyDescent="0.35">
      <c r="A285" t="s">
        <v>162</v>
      </c>
      <c r="B285" t="s">
        <v>200</v>
      </c>
      <c r="C285" t="s">
        <v>206</v>
      </c>
      <c r="D285">
        <v>2015</v>
      </c>
      <c r="E285">
        <v>79.33</v>
      </c>
      <c r="F285">
        <v>18.670000000000002</v>
      </c>
      <c r="G285">
        <v>28.870939</v>
      </c>
      <c r="H285">
        <v>49.41</v>
      </c>
      <c r="I285">
        <v>227540</v>
      </c>
      <c r="J285">
        <v>6.81</v>
      </c>
    </row>
    <row r="286" spans="1:10" x14ac:dyDescent="0.35">
      <c r="A286" t="s">
        <v>162</v>
      </c>
      <c r="B286" t="s">
        <v>200</v>
      </c>
      <c r="C286" t="s">
        <v>210</v>
      </c>
      <c r="D286">
        <v>2017</v>
      </c>
      <c r="E286">
        <v>79.33</v>
      </c>
      <c r="F286">
        <v>41.33</v>
      </c>
      <c r="G286">
        <v>19.311354999999999</v>
      </c>
      <c r="H286">
        <v>15.37</v>
      </c>
      <c r="I286">
        <v>1220190</v>
      </c>
      <c r="J286">
        <v>7.41</v>
      </c>
    </row>
    <row r="287" spans="1:10" x14ac:dyDescent="0.35">
      <c r="A287" t="s">
        <v>28</v>
      </c>
      <c r="B287" t="s">
        <v>35</v>
      </c>
      <c r="C287" t="s">
        <v>39</v>
      </c>
      <c r="D287">
        <v>2015</v>
      </c>
      <c r="E287">
        <v>79.67</v>
      </c>
      <c r="F287">
        <v>73.67</v>
      </c>
      <c r="G287" t="s">
        <v>14</v>
      </c>
      <c r="H287" t="s">
        <v>14</v>
      </c>
      <c r="I287" t="s">
        <v>14</v>
      </c>
      <c r="J287" t="s">
        <v>14</v>
      </c>
    </row>
    <row r="288" spans="1:10" x14ac:dyDescent="0.35">
      <c r="A288" t="s">
        <v>162</v>
      </c>
      <c r="B288" t="s">
        <v>200</v>
      </c>
      <c r="C288" t="s">
        <v>215</v>
      </c>
      <c r="D288">
        <v>2015</v>
      </c>
      <c r="E288">
        <v>79.67</v>
      </c>
      <c r="F288">
        <v>53</v>
      </c>
      <c r="G288">
        <v>14.356180999999999</v>
      </c>
      <c r="H288">
        <v>17.77</v>
      </c>
      <c r="I288">
        <v>192530</v>
      </c>
      <c r="J288">
        <v>6.76</v>
      </c>
    </row>
    <row r="289" spans="1:10" x14ac:dyDescent="0.35">
      <c r="A289" t="s">
        <v>28</v>
      </c>
      <c r="B289" t="s">
        <v>29</v>
      </c>
      <c r="C289" t="s">
        <v>33</v>
      </c>
      <c r="D289">
        <v>2019</v>
      </c>
      <c r="E289">
        <v>80</v>
      </c>
      <c r="F289">
        <v>63.67</v>
      </c>
      <c r="G289">
        <v>3.2324299999999999</v>
      </c>
      <c r="H289">
        <v>14.21</v>
      </c>
      <c r="I289">
        <v>1557258</v>
      </c>
      <c r="J289">
        <v>9.27</v>
      </c>
    </row>
    <row r="290" spans="1:10" x14ac:dyDescent="0.35">
      <c r="A290" t="s">
        <v>10</v>
      </c>
      <c r="B290" t="s">
        <v>11</v>
      </c>
      <c r="C290" t="s">
        <v>15</v>
      </c>
      <c r="D290">
        <v>2015</v>
      </c>
      <c r="E290">
        <v>80.33</v>
      </c>
      <c r="F290">
        <v>95</v>
      </c>
      <c r="G290">
        <v>8.5240629999999999</v>
      </c>
      <c r="H290">
        <v>8.27</v>
      </c>
      <c r="I290">
        <v>138790</v>
      </c>
      <c r="J290" t="s">
        <v>14</v>
      </c>
    </row>
    <row r="291" spans="1:10" x14ac:dyDescent="0.35">
      <c r="A291" t="s">
        <v>10</v>
      </c>
      <c r="B291" t="s">
        <v>18</v>
      </c>
      <c r="C291" t="s">
        <v>19</v>
      </c>
      <c r="D291">
        <v>2020</v>
      </c>
      <c r="E291">
        <v>80.33</v>
      </c>
      <c r="F291">
        <v>54</v>
      </c>
      <c r="G291">
        <v>38.972230000000003</v>
      </c>
      <c r="H291">
        <v>20.14</v>
      </c>
      <c r="I291">
        <v>652230</v>
      </c>
      <c r="J291">
        <v>11.71</v>
      </c>
    </row>
    <row r="292" spans="1:10" x14ac:dyDescent="0.35">
      <c r="A292" t="s">
        <v>28</v>
      </c>
      <c r="B292" t="s">
        <v>35</v>
      </c>
      <c r="C292" t="s">
        <v>41</v>
      </c>
      <c r="D292">
        <v>2017</v>
      </c>
      <c r="E292">
        <v>80.33</v>
      </c>
      <c r="F292">
        <v>73.67</v>
      </c>
      <c r="G292">
        <v>52.288341000000003</v>
      </c>
      <c r="H292">
        <v>61.45</v>
      </c>
      <c r="I292">
        <v>652750</v>
      </c>
      <c r="J292">
        <v>1.36</v>
      </c>
    </row>
    <row r="293" spans="1:10" x14ac:dyDescent="0.35">
      <c r="A293" t="s">
        <v>162</v>
      </c>
      <c r="B293" t="s">
        <v>200</v>
      </c>
      <c r="C293" t="s">
        <v>206</v>
      </c>
      <c r="D293">
        <v>2016</v>
      </c>
      <c r="E293">
        <v>80.33</v>
      </c>
      <c r="F293">
        <v>19.670000000000002</v>
      </c>
      <c r="G293">
        <v>29.554303000000001</v>
      </c>
      <c r="H293">
        <v>56.17</v>
      </c>
      <c r="I293">
        <v>227540</v>
      </c>
      <c r="J293" t="s">
        <v>14</v>
      </c>
    </row>
    <row r="294" spans="1:10" x14ac:dyDescent="0.35">
      <c r="A294" t="s">
        <v>28</v>
      </c>
      <c r="B294" t="s">
        <v>35</v>
      </c>
      <c r="C294" t="s">
        <v>45</v>
      </c>
      <c r="D294">
        <v>2016</v>
      </c>
      <c r="E294">
        <v>80.67</v>
      </c>
      <c r="F294">
        <v>55.67</v>
      </c>
      <c r="G294">
        <v>1.2245619999999999</v>
      </c>
      <c r="H294">
        <v>1.65</v>
      </c>
      <c r="I294">
        <v>14870</v>
      </c>
      <c r="J294">
        <v>4.66</v>
      </c>
    </row>
    <row r="295" spans="1:10" x14ac:dyDescent="0.35">
      <c r="A295" t="s">
        <v>162</v>
      </c>
      <c r="B295" t="s">
        <v>200</v>
      </c>
      <c r="C295" t="s">
        <v>210</v>
      </c>
      <c r="D295">
        <v>2018</v>
      </c>
      <c r="E295">
        <v>80.67</v>
      </c>
      <c r="F295">
        <v>43</v>
      </c>
      <c r="G295">
        <v>19.934297999999998</v>
      </c>
      <c r="H295">
        <v>17.07</v>
      </c>
      <c r="I295">
        <v>1220190</v>
      </c>
      <c r="J295">
        <v>1.62</v>
      </c>
    </row>
    <row r="296" spans="1:10" x14ac:dyDescent="0.35">
      <c r="A296" t="s">
        <v>162</v>
      </c>
      <c r="B296" t="s">
        <v>200</v>
      </c>
      <c r="C296" t="s">
        <v>215</v>
      </c>
      <c r="D296">
        <v>2016</v>
      </c>
      <c r="E296">
        <v>80.67</v>
      </c>
      <c r="F296">
        <v>53.67</v>
      </c>
      <c r="G296">
        <v>14.751355999999999</v>
      </c>
      <c r="H296">
        <v>19.04</v>
      </c>
      <c r="I296">
        <v>192530</v>
      </c>
      <c r="J296">
        <v>4.46</v>
      </c>
    </row>
    <row r="297" spans="1:10" x14ac:dyDescent="0.35">
      <c r="A297" t="s">
        <v>28</v>
      </c>
      <c r="B297" t="s">
        <v>29</v>
      </c>
      <c r="C297" t="s">
        <v>33</v>
      </c>
      <c r="D297">
        <v>2020</v>
      </c>
      <c r="E297">
        <v>81</v>
      </c>
      <c r="F297">
        <v>65</v>
      </c>
      <c r="G297">
        <v>3.2943349999999998</v>
      </c>
      <c r="H297">
        <v>13.31</v>
      </c>
      <c r="I297">
        <v>1557506.8</v>
      </c>
      <c r="J297">
        <v>6.59</v>
      </c>
    </row>
    <row r="298" spans="1:10" x14ac:dyDescent="0.35">
      <c r="A298" t="s">
        <v>10</v>
      </c>
      <c r="B298" t="s">
        <v>11</v>
      </c>
      <c r="C298" t="s">
        <v>15</v>
      </c>
      <c r="D298">
        <v>2016</v>
      </c>
      <c r="E298">
        <v>81.33</v>
      </c>
      <c r="F298">
        <v>95.33</v>
      </c>
      <c r="G298">
        <v>8.7253179999999997</v>
      </c>
      <c r="H298">
        <v>6.99</v>
      </c>
      <c r="I298">
        <v>138790</v>
      </c>
      <c r="J298">
        <v>6.9</v>
      </c>
    </row>
    <row r="299" spans="1:10" x14ac:dyDescent="0.35">
      <c r="A299" t="s">
        <v>107</v>
      </c>
      <c r="B299" t="s">
        <v>108</v>
      </c>
      <c r="C299" t="s">
        <v>112</v>
      </c>
      <c r="D299">
        <v>2015</v>
      </c>
      <c r="E299">
        <v>81.33</v>
      </c>
      <c r="F299">
        <v>80.67</v>
      </c>
      <c r="G299">
        <v>34.680458000000002</v>
      </c>
      <c r="H299">
        <v>110.41</v>
      </c>
      <c r="I299">
        <v>446300</v>
      </c>
      <c r="J299">
        <v>9.4600000000000009</v>
      </c>
    </row>
    <row r="300" spans="1:10" x14ac:dyDescent="0.35">
      <c r="A300" t="s">
        <v>162</v>
      </c>
      <c r="B300" t="s">
        <v>200</v>
      </c>
      <c r="C300" t="s">
        <v>206</v>
      </c>
      <c r="D300">
        <v>2017</v>
      </c>
      <c r="E300">
        <v>81.33</v>
      </c>
      <c r="F300">
        <v>20.67</v>
      </c>
      <c r="G300">
        <v>30.222262000000001</v>
      </c>
      <c r="H300">
        <v>60.41</v>
      </c>
      <c r="I300">
        <v>227540</v>
      </c>
      <c r="J300">
        <v>3.37</v>
      </c>
    </row>
    <row r="301" spans="1:10" x14ac:dyDescent="0.35">
      <c r="A301" t="s">
        <v>162</v>
      </c>
      <c r="B301" t="s">
        <v>163</v>
      </c>
      <c r="C301" t="s">
        <v>165</v>
      </c>
      <c r="D301">
        <v>2015</v>
      </c>
      <c r="E301">
        <v>81.67</v>
      </c>
      <c r="F301">
        <v>37.67</v>
      </c>
      <c r="G301">
        <v>0.73021599999999998</v>
      </c>
      <c r="H301">
        <v>0.97</v>
      </c>
      <c r="I301">
        <v>1861</v>
      </c>
      <c r="J301" t="s">
        <v>14</v>
      </c>
    </row>
    <row r="302" spans="1:10" x14ac:dyDescent="0.35">
      <c r="A302" t="s">
        <v>162</v>
      </c>
      <c r="B302" t="s">
        <v>163</v>
      </c>
      <c r="C302" t="s">
        <v>165</v>
      </c>
      <c r="D302">
        <v>2016</v>
      </c>
      <c r="E302">
        <v>81.67</v>
      </c>
      <c r="F302">
        <v>37.67</v>
      </c>
      <c r="G302">
        <v>0.74623200000000001</v>
      </c>
      <c r="H302">
        <v>1.01</v>
      </c>
      <c r="I302">
        <v>1861</v>
      </c>
      <c r="J302" t="s">
        <v>14</v>
      </c>
    </row>
    <row r="303" spans="1:10" x14ac:dyDescent="0.35">
      <c r="A303" t="s">
        <v>162</v>
      </c>
      <c r="B303" t="s">
        <v>163</v>
      </c>
      <c r="C303" t="s">
        <v>165</v>
      </c>
      <c r="D303">
        <v>2017</v>
      </c>
      <c r="E303">
        <v>81.67</v>
      </c>
      <c r="F303">
        <v>37.67</v>
      </c>
      <c r="G303">
        <v>0.76166400000000001</v>
      </c>
      <c r="H303">
        <v>1.08</v>
      </c>
      <c r="I303">
        <v>1861</v>
      </c>
      <c r="J303" t="s">
        <v>14</v>
      </c>
    </row>
    <row r="304" spans="1:10" x14ac:dyDescent="0.35">
      <c r="A304" t="s">
        <v>162</v>
      </c>
      <c r="B304" t="s">
        <v>163</v>
      </c>
      <c r="C304" t="s">
        <v>165</v>
      </c>
      <c r="D304">
        <v>2018</v>
      </c>
      <c r="E304">
        <v>81.67</v>
      </c>
      <c r="F304">
        <v>37.67</v>
      </c>
      <c r="G304">
        <v>0.77631300000000003</v>
      </c>
      <c r="H304">
        <v>1.19</v>
      </c>
      <c r="I304">
        <v>1861</v>
      </c>
      <c r="J304" t="s">
        <v>14</v>
      </c>
    </row>
    <row r="305" spans="1:10" x14ac:dyDescent="0.35">
      <c r="A305" t="s">
        <v>162</v>
      </c>
      <c r="B305" t="s">
        <v>163</v>
      </c>
      <c r="C305" t="s">
        <v>165</v>
      </c>
      <c r="D305">
        <v>2019</v>
      </c>
      <c r="E305">
        <v>81.67</v>
      </c>
      <c r="F305">
        <v>37.67</v>
      </c>
      <c r="G305">
        <v>0.79098599999999997</v>
      </c>
      <c r="H305">
        <v>1.2</v>
      </c>
      <c r="I305">
        <v>1861</v>
      </c>
      <c r="J305" t="s">
        <v>14</v>
      </c>
    </row>
    <row r="306" spans="1:10" x14ac:dyDescent="0.35">
      <c r="A306" t="s">
        <v>162</v>
      </c>
      <c r="B306" t="s">
        <v>200</v>
      </c>
      <c r="C306" t="s">
        <v>215</v>
      </c>
      <c r="D306">
        <v>2017</v>
      </c>
      <c r="E306">
        <v>81.67</v>
      </c>
      <c r="F306">
        <v>54.33</v>
      </c>
      <c r="G306">
        <v>15.157793</v>
      </c>
      <c r="H306">
        <v>21</v>
      </c>
      <c r="I306">
        <v>192530</v>
      </c>
      <c r="J306">
        <v>4.08</v>
      </c>
    </row>
    <row r="307" spans="1:10" x14ac:dyDescent="0.35">
      <c r="A307" t="s">
        <v>28</v>
      </c>
      <c r="B307" t="s">
        <v>35</v>
      </c>
      <c r="C307" t="s">
        <v>39</v>
      </c>
      <c r="D307">
        <v>2016</v>
      </c>
      <c r="E307">
        <v>82</v>
      </c>
      <c r="F307">
        <v>75.67</v>
      </c>
      <c r="G307" t="s">
        <v>14</v>
      </c>
      <c r="H307" t="s">
        <v>14</v>
      </c>
      <c r="I307" t="s">
        <v>14</v>
      </c>
      <c r="J307" t="s">
        <v>14</v>
      </c>
    </row>
    <row r="308" spans="1:10" x14ac:dyDescent="0.35">
      <c r="A308" t="s">
        <v>162</v>
      </c>
      <c r="B308" t="s">
        <v>200</v>
      </c>
      <c r="C308" t="s">
        <v>210</v>
      </c>
      <c r="D308">
        <v>2019</v>
      </c>
      <c r="E308">
        <v>82</v>
      </c>
      <c r="F308">
        <v>44.67</v>
      </c>
      <c r="G308">
        <v>20.567423999999999</v>
      </c>
      <c r="H308">
        <v>17.28</v>
      </c>
      <c r="I308">
        <v>1220190</v>
      </c>
      <c r="J308" t="s">
        <v>14</v>
      </c>
    </row>
    <row r="309" spans="1:10" x14ac:dyDescent="0.35">
      <c r="A309" t="s">
        <v>10</v>
      </c>
      <c r="B309" t="s">
        <v>11</v>
      </c>
      <c r="C309" t="s">
        <v>15</v>
      </c>
      <c r="D309">
        <v>2017</v>
      </c>
      <c r="E309">
        <v>82.33</v>
      </c>
      <c r="F309">
        <v>95.67</v>
      </c>
      <c r="G309">
        <v>8.9255250000000004</v>
      </c>
      <c r="H309">
        <v>7.54</v>
      </c>
      <c r="I309">
        <v>138790</v>
      </c>
      <c r="J309" t="s">
        <v>14</v>
      </c>
    </row>
    <row r="310" spans="1:10" x14ac:dyDescent="0.35">
      <c r="A310" t="s">
        <v>28</v>
      </c>
      <c r="B310" t="s">
        <v>35</v>
      </c>
      <c r="C310" t="s">
        <v>41</v>
      </c>
      <c r="D310">
        <v>2018</v>
      </c>
      <c r="E310">
        <v>82.33</v>
      </c>
      <c r="F310">
        <v>74.33</v>
      </c>
      <c r="G310">
        <v>52.666013999999997</v>
      </c>
      <c r="H310">
        <v>67.14</v>
      </c>
      <c r="I310">
        <v>652700</v>
      </c>
      <c r="J310">
        <v>0.77</v>
      </c>
    </row>
    <row r="311" spans="1:10" x14ac:dyDescent="0.35">
      <c r="A311" t="s">
        <v>28</v>
      </c>
      <c r="B311" t="s">
        <v>35</v>
      </c>
      <c r="C311" t="s">
        <v>45</v>
      </c>
      <c r="D311">
        <v>2017</v>
      </c>
      <c r="E311">
        <v>82.33</v>
      </c>
      <c r="F311">
        <v>57.33</v>
      </c>
      <c r="G311">
        <v>1.2432350000000001</v>
      </c>
      <c r="H311">
        <v>1.6</v>
      </c>
      <c r="I311">
        <v>14870</v>
      </c>
      <c r="J311" t="s">
        <v>14</v>
      </c>
    </row>
    <row r="312" spans="1:10" x14ac:dyDescent="0.35">
      <c r="A312" t="s">
        <v>162</v>
      </c>
      <c r="B312" t="s">
        <v>200</v>
      </c>
      <c r="C312" t="s">
        <v>206</v>
      </c>
      <c r="D312">
        <v>2018</v>
      </c>
      <c r="E312">
        <v>82.67</v>
      </c>
      <c r="F312">
        <v>21.67</v>
      </c>
      <c r="G312">
        <v>30.870640999999999</v>
      </c>
      <c r="H312">
        <v>67.3</v>
      </c>
      <c r="I312">
        <v>227540</v>
      </c>
      <c r="J312" t="s">
        <v>14</v>
      </c>
    </row>
    <row r="313" spans="1:10" x14ac:dyDescent="0.35">
      <c r="A313" t="s">
        <v>162</v>
      </c>
      <c r="B313" t="s">
        <v>200</v>
      </c>
      <c r="C313" t="s">
        <v>215</v>
      </c>
      <c r="D313">
        <v>2018</v>
      </c>
      <c r="E313">
        <v>82.67</v>
      </c>
      <c r="F313">
        <v>55.67</v>
      </c>
      <c r="G313">
        <v>15.574909</v>
      </c>
      <c r="H313">
        <v>23.12</v>
      </c>
      <c r="I313">
        <v>192530</v>
      </c>
      <c r="J313">
        <v>3.57</v>
      </c>
    </row>
    <row r="314" spans="1:10" x14ac:dyDescent="0.35">
      <c r="A314" t="s">
        <v>107</v>
      </c>
      <c r="B314" t="s">
        <v>108</v>
      </c>
      <c r="C314" t="s">
        <v>112</v>
      </c>
      <c r="D314">
        <v>2016</v>
      </c>
      <c r="E314">
        <v>83</v>
      </c>
      <c r="F314">
        <v>81.67</v>
      </c>
      <c r="G314">
        <v>35.107264000000001</v>
      </c>
      <c r="H314">
        <v>111.57</v>
      </c>
      <c r="I314">
        <v>446300</v>
      </c>
      <c r="J314">
        <v>9.3000000000000007</v>
      </c>
    </row>
    <row r="315" spans="1:10" x14ac:dyDescent="0.35">
      <c r="A315" t="s">
        <v>162</v>
      </c>
      <c r="B315" t="s">
        <v>194</v>
      </c>
      <c r="C315" t="s">
        <v>198</v>
      </c>
      <c r="D315">
        <v>2016</v>
      </c>
      <c r="E315">
        <v>83</v>
      </c>
      <c r="F315">
        <v>34.67</v>
      </c>
      <c r="G315">
        <v>2.3233519999999999</v>
      </c>
      <c r="H315">
        <v>10.72</v>
      </c>
      <c r="I315">
        <v>823290</v>
      </c>
      <c r="J315">
        <v>23.35</v>
      </c>
    </row>
    <row r="316" spans="1:10" x14ac:dyDescent="0.35">
      <c r="A316" t="s">
        <v>10</v>
      </c>
      <c r="B316" t="s">
        <v>11</v>
      </c>
      <c r="C316" t="s">
        <v>15</v>
      </c>
      <c r="D316">
        <v>2018</v>
      </c>
      <c r="E316">
        <v>83.33</v>
      </c>
      <c r="F316">
        <v>95.67</v>
      </c>
      <c r="G316">
        <v>9.1281320000000008</v>
      </c>
      <c r="H316">
        <v>7.77</v>
      </c>
      <c r="I316">
        <v>138790</v>
      </c>
      <c r="J316" t="s">
        <v>14</v>
      </c>
    </row>
    <row r="317" spans="1:10" x14ac:dyDescent="0.35">
      <c r="A317" t="s">
        <v>28</v>
      </c>
      <c r="B317" t="s">
        <v>35</v>
      </c>
      <c r="C317" t="s">
        <v>39</v>
      </c>
      <c r="D317">
        <v>2017</v>
      </c>
      <c r="E317">
        <v>83.33</v>
      </c>
      <c r="F317">
        <v>78.33</v>
      </c>
      <c r="G317" t="s">
        <v>14</v>
      </c>
      <c r="H317" t="s">
        <v>14</v>
      </c>
      <c r="I317" t="s">
        <v>14</v>
      </c>
      <c r="J317" t="s">
        <v>14</v>
      </c>
    </row>
    <row r="318" spans="1:10" x14ac:dyDescent="0.35">
      <c r="A318" t="s">
        <v>162</v>
      </c>
      <c r="B318" t="s">
        <v>194</v>
      </c>
      <c r="C318" t="s">
        <v>198</v>
      </c>
      <c r="D318">
        <v>2015</v>
      </c>
      <c r="E318">
        <v>83.33</v>
      </c>
      <c r="F318">
        <v>34.67</v>
      </c>
      <c r="G318">
        <v>2.2827039999999998</v>
      </c>
      <c r="H318">
        <v>11.34</v>
      </c>
      <c r="I318">
        <v>823290</v>
      </c>
      <c r="J318" t="s">
        <v>14</v>
      </c>
    </row>
    <row r="319" spans="1:10" x14ac:dyDescent="0.35">
      <c r="A319" t="s">
        <v>162</v>
      </c>
      <c r="B319" t="s">
        <v>194</v>
      </c>
      <c r="C319" t="s">
        <v>198</v>
      </c>
      <c r="D319">
        <v>2017</v>
      </c>
      <c r="E319">
        <v>83.33</v>
      </c>
      <c r="F319">
        <v>34.67</v>
      </c>
      <c r="G319">
        <v>2.3645339999999999</v>
      </c>
      <c r="H319">
        <v>12.9</v>
      </c>
      <c r="I319">
        <v>823290</v>
      </c>
      <c r="J319" t="s">
        <v>14</v>
      </c>
    </row>
    <row r="320" spans="1:10" x14ac:dyDescent="0.35">
      <c r="A320" t="s">
        <v>162</v>
      </c>
      <c r="B320" t="s">
        <v>200</v>
      </c>
      <c r="C320" t="s">
        <v>203</v>
      </c>
      <c r="D320">
        <v>2015</v>
      </c>
      <c r="E320">
        <v>83.33</v>
      </c>
      <c r="F320">
        <v>68.67</v>
      </c>
      <c r="G320">
        <v>0.55216600000000005</v>
      </c>
      <c r="H320">
        <v>1.6</v>
      </c>
      <c r="I320">
        <v>4030</v>
      </c>
      <c r="J320">
        <v>31.31</v>
      </c>
    </row>
    <row r="321" spans="1:10" x14ac:dyDescent="0.35">
      <c r="A321" t="s">
        <v>162</v>
      </c>
      <c r="B321" t="s">
        <v>194</v>
      </c>
      <c r="C321" t="s">
        <v>198</v>
      </c>
      <c r="D321">
        <v>2018</v>
      </c>
      <c r="E321">
        <v>83.67</v>
      </c>
      <c r="F321">
        <v>34.67</v>
      </c>
      <c r="G321">
        <v>2.4056799999999998</v>
      </c>
      <c r="H321">
        <v>13.68</v>
      </c>
      <c r="I321">
        <v>823290</v>
      </c>
      <c r="J321">
        <v>19.88</v>
      </c>
    </row>
    <row r="322" spans="1:10" x14ac:dyDescent="0.35">
      <c r="A322" t="s">
        <v>162</v>
      </c>
      <c r="B322" t="s">
        <v>194</v>
      </c>
      <c r="C322" t="s">
        <v>198</v>
      </c>
      <c r="D322">
        <v>2019</v>
      </c>
      <c r="E322">
        <v>83.67</v>
      </c>
      <c r="F322">
        <v>35</v>
      </c>
      <c r="G322">
        <v>2.446644</v>
      </c>
      <c r="H322">
        <v>12.54</v>
      </c>
      <c r="I322">
        <v>823290</v>
      </c>
      <c r="J322" t="s">
        <v>14</v>
      </c>
    </row>
    <row r="323" spans="1:10" x14ac:dyDescent="0.35">
      <c r="A323" t="s">
        <v>162</v>
      </c>
      <c r="B323" t="s">
        <v>194</v>
      </c>
      <c r="C323" t="s">
        <v>198</v>
      </c>
      <c r="D323">
        <v>2020</v>
      </c>
      <c r="E323">
        <v>83.67</v>
      </c>
      <c r="F323">
        <v>35</v>
      </c>
      <c r="G323">
        <v>2.4890979999999998</v>
      </c>
      <c r="H323">
        <v>10.58</v>
      </c>
      <c r="I323">
        <v>823290</v>
      </c>
      <c r="J323" t="s">
        <v>14</v>
      </c>
    </row>
    <row r="324" spans="1:10" x14ac:dyDescent="0.35">
      <c r="A324" t="s">
        <v>162</v>
      </c>
      <c r="B324" t="s">
        <v>200</v>
      </c>
      <c r="C324" t="s">
        <v>206</v>
      </c>
      <c r="D324">
        <v>2019</v>
      </c>
      <c r="E324">
        <v>83.67</v>
      </c>
      <c r="F324">
        <v>22.67</v>
      </c>
      <c r="G324">
        <v>31.522290000000002</v>
      </c>
      <c r="H324">
        <v>68.34</v>
      </c>
      <c r="I324">
        <v>227540</v>
      </c>
      <c r="J324" t="s">
        <v>14</v>
      </c>
    </row>
    <row r="325" spans="1:10" x14ac:dyDescent="0.35">
      <c r="A325" t="s">
        <v>162</v>
      </c>
      <c r="B325" t="s">
        <v>200</v>
      </c>
      <c r="C325" t="s">
        <v>210</v>
      </c>
      <c r="D325">
        <v>2020</v>
      </c>
      <c r="E325">
        <v>83.67</v>
      </c>
      <c r="F325">
        <v>46</v>
      </c>
      <c r="G325">
        <v>21.224039999999999</v>
      </c>
      <c r="H325">
        <v>17.47</v>
      </c>
      <c r="I325">
        <v>1220190</v>
      </c>
      <c r="J325">
        <v>3.53</v>
      </c>
    </row>
    <row r="326" spans="1:10" x14ac:dyDescent="0.35">
      <c r="A326" t="s">
        <v>28</v>
      </c>
      <c r="B326" t="s">
        <v>35</v>
      </c>
      <c r="C326" t="s">
        <v>41</v>
      </c>
      <c r="D326">
        <v>2019</v>
      </c>
      <c r="E326">
        <v>84</v>
      </c>
      <c r="F326">
        <v>74</v>
      </c>
      <c r="G326">
        <v>53.040211999999997</v>
      </c>
      <c r="H326">
        <v>68.7</v>
      </c>
      <c r="I326">
        <v>652700</v>
      </c>
      <c r="J326">
        <v>0.41</v>
      </c>
    </row>
    <row r="327" spans="1:10" x14ac:dyDescent="0.35">
      <c r="A327" t="s">
        <v>107</v>
      </c>
      <c r="B327" t="s">
        <v>108</v>
      </c>
      <c r="C327" t="s">
        <v>112</v>
      </c>
      <c r="D327">
        <v>2017</v>
      </c>
      <c r="E327">
        <v>84</v>
      </c>
      <c r="F327">
        <v>82</v>
      </c>
      <c r="G327">
        <v>35.528115</v>
      </c>
      <c r="H327">
        <v>118.54</v>
      </c>
      <c r="I327">
        <v>446300</v>
      </c>
      <c r="J327" t="s">
        <v>14</v>
      </c>
    </row>
    <row r="328" spans="1:10" x14ac:dyDescent="0.35">
      <c r="A328" t="s">
        <v>162</v>
      </c>
      <c r="B328" t="s">
        <v>200</v>
      </c>
      <c r="C328" t="s">
        <v>215</v>
      </c>
      <c r="D328">
        <v>2019</v>
      </c>
      <c r="E328">
        <v>84</v>
      </c>
      <c r="F328">
        <v>56.33</v>
      </c>
      <c r="G328">
        <v>16.000781</v>
      </c>
      <c r="H328">
        <v>23.4</v>
      </c>
      <c r="I328">
        <v>192530</v>
      </c>
      <c r="J328">
        <v>2.86</v>
      </c>
    </row>
    <row r="329" spans="1:10" x14ac:dyDescent="0.35">
      <c r="A329" t="s">
        <v>28</v>
      </c>
      <c r="B329" t="s">
        <v>35</v>
      </c>
      <c r="C329" t="s">
        <v>45</v>
      </c>
      <c r="D329">
        <v>2018</v>
      </c>
      <c r="E329">
        <v>84.33</v>
      </c>
      <c r="F329">
        <v>58</v>
      </c>
      <c r="G329">
        <v>1.2618450000000001</v>
      </c>
      <c r="H329">
        <v>1.56</v>
      </c>
      <c r="I329">
        <v>14870</v>
      </c>
      <c r="J329" t="s">
        <v>14</v>
      </c>
    </row>
    <row r="330" spans="1:10" x14ac:dyDescent="0.35">
      <c r="A330" t="s">
        <v>162</v>
      </c>
      <c r="B330" t="s">
        <v>200</v>
      </c>
      <c r="C330" t="s">
        <v>203</v>
      </c>
      <c r="D330">
        <v>2016</v>
      </c>
      <c r="E330">
        <v>84.33</v>
      </c>
      <c r="F330">
        <v>70.33</v>
      </c>
      <c r="G330">
        <v>0.55839399999999995</v>
      </c>
      <c r="H330">
        <v>1.66</v>
      </c>
      <c r="I330">
        <v>4030</v>
      </c>
      <c r="J330" t="s">
        <v>14</v>
      </c>
    </row>
    <row r="331" spans="1:10" x14ac:dyDescent="0.35">
      <c r="A331" t="s">
        <v>162</v>
      </c>
      <c r="B331" t="s">
        <v>200</v>
      </c>
      <c r="C331" t="s">
        <v>206</v>
      </c>
      <c r="D331">
        <v>2020</v>
      </c>
      <c r="E331">
        <v>84.67</v>
      </c>
      <c r="F331">
        <v>23</v>
      </c>
      <c r="G331">
        <v>32.180401000000003</v>
      </c>
      <c r="H331">
        <v>70.040000000000006</v>
      </c>
      <c r="I331">
        <v>227533</v>
      </c>
      <c r="J331" t="s">
        <v>14</v>
      </c>
    </row>
    <row r="332" spans="1:10" x14ac:dyDescent="0.35">
      <c r="A332" t="s">
        <v>10</v>
      </c>
      <c r="B332" t="s">
        <v>11</v>
      </c>
      <c r="C332" t="s">
        <v>15</v>
      </c>
      <c r="D332">
        <v>2019</v>
      </c>
      <c r="E332">
        <v>85</v>
      </c>
      <c r="F332">
        <v>96.33</v>
      </c>
      <c r="G332">
        <v>9.3370029999999993</v>
      </c>
      <c r="H332">
        <v>8.3000000000000007</v>
      </c>
      <c r="I332">
        <v>138790</v>
      </c>
      <c r="J332" t="s">
        <v>14</v>
      </c>
    </row>
    <row r="333" spans="1:10" x14ac:dyDescent="0.35">
      <c r="A333" t="s">
        <v>10</v>
      </c>
      <c r="B333" t="s">
        <v>11</v>
      </c>
      <c r="C333" t="s">
        <v>15</v>
      </c>
      <c r="D333">
        <v>2020</v>
      </c>
      <c r="E333">
        <v>85</v>
      </c>
      <c r="F333">
        <v>96.33</v>
      </c>
      <c r="G333">
        <v>9.5432070000000007</v>
      </c>
      <c r="H333">
        <v>8.1300000000000008</v>
      </c>
      <c r="I333">
        <v>138790</v>
      </c>
      <c r="J333" t="s">
        <v>14</v>
      </c>
    </row>
    <row r="334" spans="1:10" x14ac:dyDescent="0.35">
      <c r="A334" t="s">
        <v>28</v>
      </c>
      <c r="B334" t="s">
        <v>35</v>
      </c>
      <c r="C334" t="s">
        <v>39</v>
      </c>
      <c r="D334">
        <v>2018</v>
      </c>
      <c r="E334">
        <v>85</v>
      </c>
      <c r="F334">
        <v>80</v>
      </c>
      <c r="G334" t="s">
        <v>14</v>
      </c>
      <c r="H334" t="s">
        <v>14</v>
      </c>
      <c r="I334" t="s">
        <v>14</v>
      </c>
      <c r="J334" t="s">
        <v>14</v>
      </c>
    </row>
    <row r="335" spans="1:10" x14ac:dyDescent="0.35">
      <c r="A335" t="s">
        <v>162</v>
      </c>
      <c r="B335" t="s">
        <v>200</v>
      </c>
      <c r="C335" t="s">
        <v>215</v>
      </c>
      <c r="D335">
        <v>2020</v>
      </c>
      <c r="E335">
        <v>85</v>
      </c>
      <c r="F335">
        <v>57</v>
      </c>
      <c r="G335">
        <v>16.436119999999999</v>
      </c>
      <c r="H335">
        <v>24.49</v>
      </c>
      <c r="I335">
        <v>192530</v>
      </c>
      <c r="J335" t="s">
        <v>14</v>
      </c>
    </row>
    <row r="336" spans="1:10" x14ac:dyDescent="0.35">
      <c r="A336" t="s">
        <v>162</v>
      </c>
      <c r="B336" t="s">
        <v>200</v>
      </c>
      <c r="C336" t="s">
        <v>203</v>
      </c>
      <c r="D336">
        <v>2017</v>
      </c>
      <c r="E336">
        <v>85.33</v>
      </c>
      <c r="F336">
        <v>72.33</v>
      </c>
      <c r="G336">
        <v>0.56495399999999996</v>
      </c>
      <c r="H336">
        <v>1.77</v>
      </c>
      <c r="I336">
        <v>4030</v>
      </c>
      <c r="J336">
        <v>12.24</v>
      </c>
    </row>
    <row r="337" spans="1:10" x14ac:dyDescent="0.35">
      <c r="A337" t="s">
        <v>28</v>
      </c>
      <c r="B337" t="s">
        <v>35</v>
      </c>
      <c r="C337" t="s">
        <v>41</v>
      </c>
      <c r="D337">
        <v>2020</v>
      </c>
      <c r="E337">
        <v>85.67</v>
      </c>
      <c r="F337">
        <v>74.67</v>
      </c>
      <c r="G337">
        <v>53.423197999999999</v>
      </c>
      <c r="H337">
        <v>78.930000000000007</v>
      </c>
      <c r="I337">
        <v>652670</v>
      </c>
      <c r="J337">
        <v>1.48</v>
      </c>
    </row>
    <row r="338" spans="1:10" x14ac:dyDescent="0.35">
      <c r="A338" t="s">
        <v>107</v>
      </c>
      <c r="B338" t="s">
        <v>108</v>
      </c>
      <c r="C338" t="s">
        <v>112</v>
      </c>
      <c r="D338">
        <v>2018</v>
      </c>
      <c r="E338">
        <v>85.67</v>
      </c>
      <c r="F338">
        <v>83</v>
      </c>
      <c r="G338">
        <v>35.927511000000003</v>
      </c>
      <c r="H338">
        <v>127.34</v>
      </c>
      <c r="I338">
        <v>446300</v>
      </c>
      <c r="J338" t="s">
        <v>14</v>
      </c>
    </row>
    <row r="339" spans="1:10" x14ac:dyDescent="0.35">
      <c r="A339" t="s">
        <v>162</v>
      </c>
      <c r="B339" t="s">
        <v>194</v>
      </c>
      <c r="C339" t="s">
        <v>195</v>
      </c>
      <c r="D339">
        <v>2015</v>
      </c>
      <c r="E339">
        <v>85.67</v>
      </c>
      <c r="F339">
        <v>70.33</v>
      </c>
      <c r="G339">
        <v>2.3051710000000001</v>
      </c>
      <c r="H339">
        <v>13.53</v>
      </c>
      <c r="I339">
        <v>566730</v>
      </c>
      <c r="J339" t="s">
        <v>14</v>
      </c>
    </row>
    <row r="340" spans="1:10" x14ac:dyDescent="0.35">
      <c r="A340" t="s">
        <v>28</v>
      </c>
      <c r="B340" t="s">
        <v>35</v>
      </c>
      <c r="C340" t="s">
        <v>45</v>
      </c>
      <c r="D340">
        <v>2019</v>
      </c>
      <c r="E340">
        <v>86</v>
      </c>
      <c r="F340">
        <v>59</v>
      </c>
      <c r="G340">
        <v>1.280438</v>
      </c>
      <c r="H340">
        <v>2.0299999999999998</v>
      </c>
      <c r="I340">
        <v>14870</v>
      </c>
      <c r="J340" t="s">
        <v>14</v>
      </c>
    </row>
    <row r="341" spans="1:10" x14ac:dyDescent="0.35">
      <c r="A341" t="s">
        <v>54</v>
      </c>
      <c r="B341" t="s">
        <v>92</v>
      </c>
      <c r="C341" t="s">
        <v>103</v>
      </c>
      <c r="D341">
        <v>2015</v>
      </c>
      <c r="E341">
        <v>86</v>
      </c>
      <c r="F341">
        <v>70</v>
      </c>
      <c r="G341">
        <v>30.711863000000001</v>
      </c>
      <c r="H341">
        <v>189.81</v>
      </c>
      <c r="I341">
        <v>1280000</v>
      </c>
      <c r="J341">
        <v>3.27</v>
      </c>
    </row>
    <row r="342" spans="1:10" x14ac:dyDescent="0.35">
      <c r="A342" t="s">
        <v>107</v>
      </c>
      <c r="B342" t="s">
        <v>115</v>
      </c>
      <c r="C342" t="s">
        <v>126</v>
      </c>
      <c r="D342">
        <v>2015</v>
      </c>
      <c r="E342">
        <v>86</v>
      </c>
      <c r="F342">
        <v>99</v>
      </c>
      <c r="G342">
        <v>4.1917759999999999</v>
      </c>
      <c r="H342">
        <v>78.709999999999994</v>
      </c>
      <c r="I342">
        <v>309500</v>
      </c>
      <c r="J342" t="s">
        <v>14</v>
      </c>
    </row>
    <row r="343" spans="1:10" x14ac:dyDescent="0.35">
      <c r="A343" t="s">
        <v>162</v>
      </c>
      <c r="B343" t="s">
        <v>200</v>
      </c>
      <c r="C343" t="s">
        <v>203</v>
      </c>
      <c r="D343">
        <v>2018</v>
      </c>
      <c r="E343">
        <v>86</v>
      </c>
      <c r="F343">
        <v>74.67</v>
      </c>
      <c r="G343">
        <v>0.57120199999999999</v>
      </c>
      <c r="H343">
        <v>1.97</v>
      </c>
      <c r="I343">
        <v>4030</v>
      </c>
      <c r="J343">
        <v>12.17</v>
      </c>
    </row>
    <row r="344" spans="1:10" x14ac:dyDescent="0.35">
      <c r="A344" t="s">
        <v>28</v>
      </c>
      <c r="B344" t="s">
        <v>35</v>
      </c>
      <c r="C344" t="s">
        <v>39</v>
      </c>
      <c r="D344">
        <v>2019</v>
      </c>
      <c r="E344">
        <v>86.67</v>
      </c>
      <c r="F344">
        <v>82</v>
      </c>
      <c r="G344" t="s">
        <v>14</v>
      </c>
      <c r="H344" t="s">
        <v>14</v>
      </c>
      <c r="I344" t="s">
        <v>14</v>
      </c>
      <c r="J344" t="s">
        <v>14</v>
      </c>
    </row>
    <row r="345" spans="1:10" x14ac:dyDescent="0.35">
      <c r="A345" t="s">
        <v>28</v>
      </c>
      <c r="B345" t="s">
        <v>35</v>
      </c>
      <c r="C345" t="s">
        <v>39</v>
      </c>
      <c r="D345">
        <v>2020</v>
      </c>
      <c r="E345">
        <v>86.67</v>
      </c>
      <c r="F345">
        <v>82</v>
      </c>
      <c r="G345" t="s">
        <v>14</v>
      </c>
      <c r="H345" t="s">
        <v>14</v>
      </c>
      <c r="I345" t="s">
        <v>14</v>
      </c>
      <c r="J345" t="s">
        <v>14</v>
      </c>
    </row>
    <row r="346" spans="1:10" x14ac:dyDescent="0.35">
      <c r="A346" t="s">
        <v>107</v>
      </c>
      <c r="B346" t="s">
        <v>115</v>
      </c>
      <c r="C346" t="s">
        <v>126</v>
      </c>
      <c r="D346">
        <v>2016</v>
      </c>
      <c r="E346">
        <v>86.67</v>
      </c>
      <c r="F346">
        <v>99</v>
      </c>
      <c r="G346">
        <v>4.3980699999999997</v>
      </c>
      <c r="H346">
        <v>75.13</v>
      </c>
      <c r="I346">
        <v>309500</v>
      </c>
      <c r="J346">
        <v>3.27</v>
      </c>
    </row>
    <row r="347" spans="1:10" x14ac:dyDescent="0.35">
      <c r="A347" t="s">
        <v>107</v>
      </c>
      <c r="B347" t="s">
        <v>115</v>
      </c>
      <c r="C347" t="s">
        <v>126</v>
      </c>
      <c r="D347">
        <v>2017</v>
      </c>
      <c r="E347">
        <v>86.67</v>
      </c>
      <c r="F347">
        <v>99</v>
      </c>
      <c r="G347">
        <v>4.5418539999999998</v>
      </c>
      <c r="H347">
        <v>80.86</v>
      </c>
      <c r="I347">
        <v>309500</v>
      </c>
      <c r="J347" t="s">
        <v>14</v>
      </c>
    </row>
    <row r="348" spans="1:10" x14ac:dyDescent="0.35">
      <c r="A348" t="s">
        <v>162</v>
      </c>
      <c r="B348" t="s">
        <v>194</v>
      </c>
      <c r="C348" t="s">
        <v>195</v>
      </c>
      <c r="D348">
        <v>2016</v>
      </c>
      <c r="E348">
        <v>86.67</v>
      </c>
      <c r="F348">
        <v>71.33</v>
      </c>
      <c r="G348">
        <v>2.3524159999999998</v>
      </c>
      <c r="H348">
        <v>15.08</v>
      </c>
      <c r="I348">
        <v>566730</v>
      </c>
      <c r="J348" t="s">
        <v>14</v>
      </c>
    </row>
    <row r="349" spans="1:10" x14ac:dyDescent="0.35">
      <c r="A349" t="s">
        <v>162</v>
      </c>
      <c r="B349" t="s">
        <v>200</v>
      </c>
      <c r="C349" t="s">
        <v>203</v>
      </c>
      <c r="D349">
        <v>2019</v>
      </c>
      <c r="E349">
        <v>86.67</v>
      </c>
      <c r="F349">
        <v>76</v>
      </c>
      <c r="G349">
        <v>0.57703000000000004</v>
      </c>
      <c r="H349">
        <v>1.98</v>
      </c>
      <c r="I349">
        <v>4030</v>
      </c>
      <c r="J349">
        <v>11.29</v>
      </c>
    </row>
    <row r="350" spans="1:10" x14ac:dyDescent="0.35">
      <c r="A350" t="s">
        <v>28</v>
      </c>
      <c r="B350" t="s">
        <v>35</v>
      </c>
      <c r="C350" t="s">
        <v>45</v>
      </c>
      <c r="D350">
        <v>2020</v>
      </c>
      <c r="E350">
        <v>87</v>
      </c>
      <c r="F350">
        <v>60</v>
      </c>
      <c r="G350">
        <v>1.299995</v>
      </c>
      <c r="H350">
        <v>2.16</v>
      </c>
      <c r="I350">
        <v>14870</v>
      </c>
      <c r="J350" t="s">
        <v>14</v>
      </c>
    </row>
    <row r="351" spans="1:10" x14ac:dyDescent="0.35">
      <c r="A351" t="s">
        <v>107</v>
      </c>
      <c r="B351" t="s">
        <v>115</v>
      </c>
      <c r="C351" t="s">
        <v>126</v>
      </c>
      <c r="D351">
        <v>2018</v>
      </c>
      <c r="E351">
        <v>87</v>
      </c>
      <c r="F351">
        <v>99</v>
      </c>
      <c r="G351">
        <v>4.6011569999999997</v>
      </c>
      <c r="H351">
        <v>91.51</v>
      </c>
      <c r="I351">
        <v>309500</v>
      </c>
      <c r="J351">
        <v>1.8</v>
      </c>
    </row>
    <row r="352" spans="1:10" x14ac:dyDescent="0.35">
      <c r="A352" t="s">
        <v>54</v>
      </c>
      <c r="B352" t="s">
        <v>92</v>
      </c>
      <c r="C352" t="s">
        <v>94</v>
      </c>
      <c r="D352">
        <v>2015</v>
      </c>
      <c r="E352">
        <v>87.33</v>
      </c>
      <c r="F352">
        <v>53</v>
      </c>
      <c r="G352" t="s">
        <v>14</v>
      </c>
      <c r="H352" t="s">
        <v>14</v>
      </c>
      <c r="I352" t="s">
        <v>14</v>
      </c>
      <c r="J352" t="s">
        <v>14</v>
      </c>
    </row>
    <row r="353" spans="1:10" x14ac:dyDescent="0.35">
      <c r="A353" t="s">
        <v>54</v>
      </c>
      <c r="B353" t="s">
        <v>92</v>
      </c>
      <c r="C353" t="s">
        <v>103</v>
      </c>
      <c r="D353">
        <v>2016</v>
      </c>
      <c r="E353">
        <v>87.33</v>
      </c>
      <c r="F353">
        <v>70.67</v>
      </c>
      <c r="G353">
        <v>31.132778999999999</v>
      </c>
      <c r="H353">
        <v>191.9</v>
      </c>
      <c r="I353">
        <v>1280000</v>
      </c>
      <c r="J353">
        <v>3.74</v>
      </c>
    </row>
    <row r="354" spans="1:10" x14ac:dyDescent="0.35">
      <c r="A354" t="s">
        <v>107</v>
      </c>
      <c r="B354" t="s">
        <v>108</v>
      </c>
      <c r="C354" t="s">
        <v>112</v>
      </c>
      <c r="D354">
        <v>2019</v>
      </c>
      <c r="E354">
        <v>87.33</v>
      </c>
      <c r="F354">
        <v>84</v>
      </c>
      <c r="G354">
        <v>36.304408000000002</v>
      </c>
      <c r="H354">
        <v>128.91999999999999</v>
      </c>
      <c r="I354">
        <v>446300</v>
      </c>
      <c r="J354" t="s">
        <v>14</v>
      </c>
    </row>
    <row r="355" spans="1:10" x14ac:dyDescent="0.35">
      <c r="A355" t="s">
        <v>162</v>
      </c>
      <c r="B355" t="s">
        <v>200</v>
      </c>
      <c r="C355" t="s">
        <v>203</v>
      </c>
      <c r="D355">
        <v>2020</v>
      </c>
      <c r="E355">
        <v>87.33</v>
      </c>
      <c r="F355">
        <v>78</v>
      </c>
      <c r="G355">
        <v>0.58264000000000005</v>
      </c>
      <c r="H355">
        <v>1.7</v>
      </c>
      <c r="I355">
        <v>4030</v>
      </c>
      <c r="J355" t="s">
        <v>14</v>
      </c>
    </row>
    <row r="356" spans="1:10" x14ac:dyDescent="0.35">
      <c r="A356" t="s">
        <v>54</v>
      </c>
      <c r="B356" t="s">
        <v>92</v>
      </c>
      <c r="C356" t="s">
        <v>103</v>
      </c>
      <c r="D356">
        <v>2017</v>
      </c>
      <c r="E356">
        <v>87.67</v>
      </c>
      <c r="F356">
        <v>71.33</v>
      </c>
      <c r="G356">
        <v>31.605485999999999</v>
      </c>
      <c r="H356">
        <v>211.01</v>
      </c>
      <c r="I356">
        <v>1280000</v>
      </c>
      <c r="J356">
        <v>3.69</v>
      </c>
    </row>
    <row r="357" spans="1:10" x14ac:dyDescent="0.35">
      <c r="A357" t="s">
        <v>107</v>
      </c>
      <c r="B357" t="s">
        <v>115</v>
      </c>
      <c r="C357" t="s">
        <v>126</v>
      </c>
      <c r="D357">
        <v>2019</v>
      </c>
      <c r="E357">
        <v>87.67</v>
      </c>
      <c r="F357">
        <v>99</v>
      </c>
      <c r="G357">
        <v>4.6027680000000002</v>
      </c>
      <c r="H357">
        <v>88.06</v>
      </c>
      <c r="I357">
        <v>309500</v>
      </c>
      <c r="J357" t="s">
        <v>14</v>
      </c>
    </row>
    <row r="358" spans="1:10" x14ac:dyDescent="0.35">
      <c r="A358" t="s">
        <v>107</v>
      </c>
      <c r="B358" t="s">
        <v>115</v>
      </c>
      <c r="C358" t="s">
        <v>126</v>
      </c>
      <c r="D358">
        <v>2020</v>
      </c>
      <c r="E358">
        <v>87.67</v>
      </c>
      <c r="F358">
        <v>99</v>
      </c>
      <c r="G358">
        <v>4.543399</v>
      </c>
      <c r="H358">
        <v>75.91</v>
      </c>
      <c r="I358">
        <v>309500</v>
      </c>
      <c r="J358">
        <v>2.94</v>
      </c>
    </row>
    <row r="359" spans="1:10" x14ac:dyDescent="0.35">
      <c r="A359" t="s">
        <v>162</v>
      </c>
      <c r="B359" t="s">
        <v>194</v>
      </c>
      <c r="C359" t="s">
        <v>195</v>
      </c>
      <c r="D359">
        <v>2017</v>
      </c>
      <c r="E359">
        <v>87.67</v>
      </c>
      <c r="F359">
        <v>72.33</v>
      </c>
      <c r="G359">
        <v>2.40184</v>
      </c>
      <c r="H359">
        <v>16.11</v>
      </c>
      <c r="I359">
        <v>566730</v>
      </c>
      <c r="J359" t="s">
        <v>14</v>
      </c>
    </row>
    <row r="360" spans="1:10" x14ac:dyDescent="0.35">
      <c r="A360" t="s">
        <v>54</v>
      </c>
      <c r="B360" t="s">
        <v>92</v>
      </c>
      <c r="C360" t="s">
        <v>94</v>
      </c>
      <c r="D360">
        <v>2016</v>
      </c>
      <c r="E360">
        <v>88</v>
      </c>
      <c r="F360">
        <v>54.33</v>
      </c>
      <c r="G360" t="s">
        <v>14</v>
      </c>
      <c r="H360" t="s">
        <v>14</v>
      </c>
      <c r="I360" t="s">
        <v>14</v>
      </c>
      <c r="J360" t="s">
        <v>14</v>
      </c>
    </row>
    <row r="361" spans="1:10" x14ac:dyDescent="0.35">
      <c r="A361" t="s">
        <v>134</v>
      </c>
      <c r="B361" t="s">
        <v>144</v>
      </c>
      <c r="C361" t="s">
        <v>148</v>
      </c>
      <c r="D361">
        <v>2015</v>
      </c>
      <c r="E361">
        <v>88</v>
      </c>
      <c r="F361">
        <v>88</v>
      </c>
      <c r="G361" t="s">
        <v>14</v>
      </c>
      <c r="H361" t="s">
        <v>14</v>
      </c>
      <c r="I361" t="s">
        <v>14</v>
      </c>
      <c r="J361" t="s">
        <v>14</v>
      </c>
    </row>
    <row r="362" spans="1:10" x14ac:dyDescent="0.35">
      <c r="A362" t="s">
        <v>134</v>
      </c>
      <c r="B362" t="s">
        <v>144</v>
      </c>
      <c r="C362" t="s">
        <v>148</v>
      </c>
      <c r="D362">
        <v>2016</v>
      </c>
      <c r="E362">
        <v>88</v>
      </c>
      <c r="F362">
        <v>88</v>
      </c>
      <c r="G362" t="s">
        <v>14</v>
      </c>
      <c r="H362" t="s">
        <v>14</v>
      </c>
      <c r="I362" t="s">
        <v>14</v>
      </c>
      <c r="J362" t="s">
        <v>14</v>
      </c>
    </row>
    <row r="363" spans="1:10" x14ac:dyDescent="0.35">
      <c r="A363" t="s">
        <v>134</v>
      </c>
      <c r="B363" t="s">
        <v>144</v>
      </c>
      <c r="C363" t="s">
        <v>148</v>
      </c>
      <c r="D363">
        <v>2017</v>
      </c>
      <c r="E363">
        <v>88</v>
      </c>
      <c r="F363">
        <v>88</v>
      </c>
      <c r="G363" t="s">
        <v>14</v>
      </c>
      <c r="H363" t="s">
        <v>14</v>
      </c>
      <c r="I363" t="s">
        <v>14</v>
      </c>
      <c r="J363" t="s">
        <v>14</v>
      </c>
    </row>
    <row r="364" spans="1:10" x14ac:dyDescent="0.35">
      <c r="A364" t="s">
        <v>134</v>
      </c>
      <c r="B364" t="s">
        <v>144</v>
      </c>
      <c r="C364" t="s">
        <v>148</v>
      </c>
      <c r="D364">
        <v>2018</v>
      </c>
      <c r="E364">
        <v>88</v>
      </c>
      <c r="F364">
        <v>88</v>
      </c>
      <c r="G364" t="s">
        <v>14</v>
      </c>
      <c r="H364" t="s">
        <v>14</v>
      </c>
      <c r="I364" t="s">
        <v>14</v>
      </c>
      <c r="J364" t="s">
        <v>14</v>
      </c>
    </row>
    <row r="365" spans="1:10" x14ac:dyDescent="0.35">
      <c r="A365" t="s">
        <v>134</v>
      </c>
      <c r="B365" t="s">
        <v>144</v>
      </c>
      <c r="C365" t="s">
        <v>148</v>
      </c>
      <c r="D365">
        <v>2019</v>
      </c>
      <c r="E365">
        <v>88</v>
      </c>
      <c r="F365">
        <v>88</v>
      </c>
      <c r="G365" t="s">
        <v>14</v>
      </c>
      <c r="H365" t="s">
        <v>14</v>
      </c>
      <c r="I365" t="s">
        <v>14</v>
      </c>
      <c r="J365" t="s">
        <v>14</v>
      </c>
    </row>
    <row r="366" spans="1:10" x14ac:dyDescent="0.35">
      <c r="A366" t="s">
        <v>10</v>
      </c>
      <c r="B366" t="s">
        <v>18</v>
      </c>
      <c r="C366" t="s">
        <v>25</v>
      </c>
      <c r="D366">
        <v>2015</v>
      </c>
      <c r="E366">
        <v>88.33</v>
      </c>
      <c r="F366">
        <v>60</v>
      </c>
      <c r="G366">
        <v>27.610325</v>
      </c>
      <c r="H366">
        <v>24.36</v>
      </c>
      <c r="I366">
        <v>143350</v>
      </c>
      <c r="J366">
        <v>3.1</v>
      </c>
    </row>
    <row r="367" spans="1:10" x14ac:dyDescent="0.35">
      <c r="A367" t="s">
        <v>28</v>
      </c>
      <c r="B367" t="s">
        <v>35</v>
      </c>
      <c r="C367" t="s">
        <v>38</v>
      </c>
      <c r="D367">
        <v>2015</v>
      </c>
      <c r="E367">
        <v>88.33</v>
      </c>
      <c r="F367">
        <v>73.33</v>
      </c>
      <c r="G367">
        <v>259.09197</v>
      </c>
      <c r="H367">
        <v>860.85</v>
      </c>
      <c r="I367">
        <v>1877519</v>
      </c>
      <c r="J367">
        <v>4.51</v>
      </c>
    </row>
    <row r="368" spans="1:10" x14ac:dyDescent="0.35">
      <c r="A368" t="s">
        <v>107</v>
      </c>
      <c r="B368" t="s">
        <v>108</v>
      </c>
      <c r="C368" t="s">
        <v>112</v>
      </c>
      <c r="D368">
        <v>2020</v>
      </c>
      <c r="E368">
        <v>88.33</v>
      </c>
      <c r="F368">
        <v>84.67</v>
      </c>
      <c r="G368">
        <v>36.688772</v>
      </c>
      <c r="H368">
        <v>121.35</v>
      </c>
      <c r="I368">
        <v>446300</v>
      </c>
      <c r="J368" t="s">
        <v>14</v>
      </c>
    </row>
    <row r="369" spans="1:10" x14ac:dyDescent="0.35">
      <c r="A369" t="s">
        <v>162</v>
      </c>
      <c r="B369" t="s">
        <v>194</v>
      </c>
      <c r="C369" t="s">
        <v>195</v>
      </c>
      <c r="D369">
        <v>2018</v>
      </c>
      <c r="E369">
        <v>88.33</v>
      </c>
      <c r="F369">
        <v>73.67</v>
      </c>
      <c r="G369">
        <v>2.4514089999999999</v>
      </c>
      <c r="H369">
        <v>17.03</v>
      </c>
      <c r="I369">
        <v>566730</v>
      </c>
      <c r="J369" t="s">
        <v>14</v>
      </c>
    </row>
    <row r="370" spans="1:10" x14ac:dyDescent="0.35">
      <c r="A370" t="s">
        <v>10</v>
      </c>
      <c r="B370" t="s">
        <v>18</v>
      </c>
      <c r="C370" t="s">
        <v>25</v>
      </c>
      <c r="D370">
        <v>2016</v>
      </c>
      <c r="E370">
        <v>88.67</v>
      </c>
      <c r="F370">
        <v>63</v>
      </c>
      <c r="G370">
        <v>27.861186</v>
      </c>
      <c r="H370">
        <v>24.52</v>
      </c>
      <c r="I370">
        <v>143350</v>
      </c>
      <c r="J370" t="s">
        <v>14</v>
      </c>
    </row>
    <row r="371" spans="1:10" x14ac:dyDescent="0.35">
      <c r="A371" t="s">
        <v>54</v>
      </c>
      <c r="B371" t="s">
        <v>92</v>
      </c>
      <c r="C371" t="s">
        <v>103</v>
      </c>
      <c r="D371">
        <v>2018</v>
      </c>
      <c r="E371">
        <v>88.67</v>
      </c>
      <c r="F371">
        <v>72.33</v>
      </c>
      <c r="G371">
        <v>32.203944</v>
      </c>
      <c r="H371">
        <v>222.6</v>
      </c>
      <c r="I371">
        <v>1280000</v>
      </c>
      <c r="J371">
        <v>3.49</v>
      </c>
    </row>
    <row r="372" spans="1:10" x14ac:dyDescent="0.35">
      <c r="A372" t="s">
        <v>10</v>
      </c>
      <c r="B372" t="s">
        <v>18</v>
      </c>
      <c r="C372" t="s">
        <v>22</v>
      </c>
      <c r="D372">
        <v>2015</v>
      </c>
      <c r="E372">
        <v>89</v>
      </c>
      <c r="F372">
        <v>59.33</v>
      </c>
      <c r="G372">
        <v>1322.866505</v>
      </c>
      <c r="H372">
        <v>2103.59</v>
      </c>
      <c r="I372">
        <v>2973190</v>
      </c>
      <c r="J372" t="s">
        <v>14</v>
      </c>
    </row>
    <row r="373" spans="1:10" x14ac:dyDescent="0.35">
      <c r="A373" t="s">
        <v>10</v>
      </c>
      <c r="B373" t="s">
        <v>18</v>
      </c>
      <c r="C373" t="s">
        <v>25</v>
      </c>
      <c r="D373">
        <v>2017</v>
      </c>
      <c r="E373">
        <v>89</v>
      </c>
      <c r="F373">
        <v>66.67</v>
      </c>
      <c r="G373">
        <v>28.183426000000001</v>
      </c>
      <c r="H373">
        <v>28.97</v>
      </c>
      <c r="I373">
        <v>143350</v>
      </c>
      <c r="J373">
        <v>10.66</v>
      </c>
    </row>
    <row r="374" spans="1:10" x14ac:dyDescent="0.35">
      <c r="A374" t="s">
        <v>28</v>
      </c>
      <c r="B374" t="s">
        <v>35</v>
      </c>
      <c r="C374" t="s">
        <v>38</v>
      </c>
      <c r="D374">
        <v>2016</v>
      </c>
      <c r="E374">
        <v>89</v>
      </c>
      <c r="F374">
        <v>75.33</v>
      </c>
      <c r="G374">
        <v>261.85018200000002</v>
      </c>
      <c r="H374">
        <v>931.88</v>
      </c>
      <c r="I374">
        <v>1877519</v>
      </c>
      <c r="J374">
        <v>4.3</v>
      </c>
    </row>
    <row r="375" spans="1:10" x14ac:dyDescent="0.35">
      <c r="A375" t="s">
        <v>54</v>
      </c>
      <c r="B375" t="s">
        <v>92</v>
      </c>
      <c r="C375" t="s">
        <v>94</v>
      </c>
      <c r="D375">
        <v>2017</v>
      </c>
      <c r="E375">
        <v>89</v>
      </c>
      <c r="F375">
        <v>56.33</v>
      </c>
      <c r="G375" t="s">
        <v>14</v>
      </c>
      <c r="H375" t="s">
        <v>14</v>
      </c>
      <c r="I375" t="s">
        <v>14</v>
      </c>
      <c r="J375" t="s">
        <v>14</v>
      </c>
    </row>
    <row r="376" spans="1:10" x14ac:dyDescent="0.35">
      <c r="A376" t="s">
        <v>10</v>
      </c>
      <c r="B376" t="s">
        <v>18</v>
      </c>
      <c r="C376" t="s">
        <v>22</v>
      </c>
      <c r="D376">
        <v>2016</v>
      </c>
      <c r="E376">
        <v>89.33</v>
      </c>
      <c r="F376">
        <v>62</v>
      </c>
      <c r="G376">
        <v>1338.63634</v>
      </c>
      <c r="H376">
        <v>2294.8000000000002</v>
      </c>
      <c r="I376">
        <v>2973190</v>
      </c>
      <c r="J376" t="s">
        <v>14</v>
      </c>
    </row>
    <row r="377" spans="1:10" x14ac:dyDescent="0.35">
      <c r="A377" t="s">
        <v>10</v>
      </c>
      <c r="B377" t="s">
        <v>18</v>
      </c>
      <c r="C377" t="s">
        <v>25</v>
      </c>
      <c r="D377">
        <v>2018</v>
      </c>
      <c r="E377">
        <v>89.33</v>
      </c>
      <c r="F377">
        <v>69.67</v>
      </c>
      <c r="G377">
        <v>28.506712</v>
      </c>
      <c r="H377">
        <v>33.11</v>
      </c>
      <c r="I377">
        <v>143350</v>
      </c>
      <c r="J377" t="s">
        <v>14</v>
      </c>
    </row>
    <row r="378" spans="1:10" x14ac:dyDescent="0.35">
      <c r="A378" t="s">
        <v>54</v>
      </c>
      <c r="B378" t="s">
        <v>92</v>
      </c>
      <c r="C378" t="s">
        <v>103</v>
      </c>
      <c r="D378">
        <v>2019</v>
      </c>
      <c r="E378">
        <v>89.33</v>
      </c>
      <c r="F378">
        <v>73.33</v>
      </c>
      <c r="G378">
        <v>32.824860999999999</v>
      </c>
      <c r="H378">
        <v>228.32</v>
      </c>
      <c r="I378">
        <v>1280000</v>
      </c>
      <c r="J378">
        <v>3.38</v>
      </c>
    </row>
    <row r="379" spans="1:10" x14ac:dyDescent="0.35">
      <c r="A379" t="s">
        <v>134</v>
      </c>
      <c r="B379" t="s">
        <v>144</v>
      </c>
      <c r="C379" t="s">
        <v>147</v>
      </c>
      <c r="D379">
        <v>2015</v>
      </c>
      <c r="E379">
        <v>89.33</v>
      </c>
      <c r="F379">
        <v>77.67</v>
      </c>
      <c r="G379">
        <v>4.9410000000000003E-2</v>
      </c>
      <c r="H379">
        <v>0.18</v>
      </c>
      <c r="I379">
        <v>180</v>
      </c>
      <c r="J379" t="s">
        <v>14</v>
      </c>
    </row>
    <row r="380" spans="1:10" x14ac:dyDescent="0.35">
      <c r="A380" t="s">
        <v>10</v>
      </c>
      <c r="B380" t="s">
        <v>11</v>
      </c>
      <c r="C380" t="s">
        <v>13</v>
      </c>
      <c r="D380">
        <v>2015</v>
      </c>
      <c r="E380">
        <v>89.67</v>
      </c>
      <c r="F380">
        <v>96.67</v>
      </c>
      <c r="G380" t="s">
        <v>14</v>
      </c>
      <c r="H380" t="s">
        <v>14</v>
      </c>
      <c r="I380" t="s">
        <v>14</v>
      </c>
      <c r="J380" t="s">
        <v>14</v>
      </c>
    </row>
    <row r="381" spans="1:10" x14ac:dyDescent="0.35">
      <c r="A381" t="s">
        <v>28</v>
      </c>
      <c r="B381" t="s">
        <v>35</v>
      </c>
      <c r="C381" t="s">
        <v>38</v>
      </c>
      <c r="D381">
        <v>2017</v>
      </c>
      <c r="E381">
        <v>89.67</v>
      </c>
      <c r="F381">
        <v>78.33</v>
      </c>
      <c r="G381">
        <v>264.498852</v>
      </c>
      <c r="H381">
        <v>1015.62</v>
      </c>
      <c r="I381">
        <v>1877519</v>
      </c>
      <c r="J381">
        <v>3.78</v>
      </c>
    </row>
    <row r="382" spans="1:10" x14ac:dyDescent="0.35">
      <c r="A382" t="s">
        <v>54</v>
      </c>
      <c r="B382" t="s">
        <v>92</v>
      </c>
      <c r="C382" t="s">
        <v>94</v>
      </c>
      <c r="D382">
        <v>2018</v>
      </c>
      <c r="E382">
        <v>89.67</v>
      </c>
      <c r="F382">
        <v>58</v>
      </c>
      <c r="G382" t="s">
        <v>14</v>
      </c>
      <c r="H382" t="s">
        <v>14</v>
      </c>
      <c r="I382" t="s">
        <v>14</v>
      </c>
      <c r="J382" t="s">
        <v>14</v>
      </c>
    </row>
    <row r="383" spans="1:10" x14ac:dyDescent="0.35">
      <c r="A383" t="s">
        <v>134</v>
      </c>
      <c r="B383" t="s">
        <v>144</v>
      </c>
      <c r="C383" t="s">
        <v>147</v>
      </c>
      <c r="D383">
        <v>2016</v>
      </c>
      <c r="E383">
        <v>89.67</v>
      </c>
      <c r="F383">
        <v>77.67</v>
      </c>
      <c r="G383">
        <v>4.8328999999999997E-2</v>
      </c>
      <c r="H383">
        <v>0.2</v>
      </c>
      <c r="I383">
        <v>180</v>
      </c>
      <c r="J383" t="s">
        <v>14</v>
      </c>
    </row>
    <row r="384" spans="1:10" x14ac:dyDescent="0.35">
      <c r="A384" t="s">
        <v>134</v>
      </c>
      <c r="B384" t="s">
        <v>144</v>
      </c>
      <c r="C384" t="s">
        <v>147</v>
      </c>
      <c r="D384">
        <v>2017</v>
      </c>
      <c r="E384">
        <v>89.67</v>
      </c>
      <c r="F384">
        <v>78</v>
      </c>
      <c r="G384">
        <v>4.7187E-2</v>
      </c>
      <c r="H384">
        <v>0.21</v>
      </c>
      <c r="I384">
        <v>180</v>
      </c>
      <c r="J384" t="s">
        <v>14</v>
      </c>
    </row>
    <row r="385" spans="1:10" x14ac:dyDescent="0.35">
      <c r="A385" t="s">
        <v>162</v>
      </c>
      <c r="B385" t="s">
        <v>194</v>
      </c>
      <c r="C385" t="s">
        <v>195</v>
      </c>
      <c r="D385">
        <v>2019</v>
      </c>
      <c r="E385">
        <v>89.67</v>
      </c>
      <c r="F385">
        <v>74.33</v>
      </c>
      <c r="G385">
        <v>2.4997020000000001</v>
      </c>
      <c r="H385">
        <v>16.7</v>
      </c>
      <c r="I385">
        <v>566730</v>
      </c>
      <c r="J385">
        <v>20.09</v>
      </c>
    </row>
    <row r="386" spans="1:10" x14ac:dyDescent="0.35">
      <c r="A386" t="s">
        <v>162</v>
      </c>
      <c r="B386" t="s">
        <v>194</v>
      </c>
      <c r="C386" t="s">
        <v>195</v>
      </c>
      <c r="D386">
        <v>2020</v>
      </c>
      <c r="E386">
        <v>89.67</v>
      </c>
      <c r="F386">
        <v>74.33</v>
      </c>
      <c r="G386">
        <v>2.5464020000000001</v>
      </c>
      <c r="H386">
        <v>14.93</v>
      </c>
      <c r="I386">
        <v>566730</v>
      </c>
      <c r="J386">
        <v>21.02</v>
      </c>
    </row>
    <row r="387" spans="1:10" x14ac:dyDescent="0.35">
      <c r="A387" t="s">
        <v>10</v>
      </c>
      <c r="B387" t="s">
        <v>18</v>
      </c>
      <c r="C387" t="s">
        <v>22</v>
      </c>
      <c r="D387">
        <v>2017</v>
      </c>
      <c r="E387">
        <v>90</v>
      </c>
      <c r="F387">
        <v>64.33</v>
      </c>
      <c r="G387">
        <v>1354.19568</v>
      </c>
      <c r="H387">
        <v>2651.47</v>
      </c>
      <c r="I387">
        <v>2973190</v>
      </c>
      <c r="J387" t="s">
        <v>14</v>
      </c>
    </row>
    <row r="388" spans="1:10" x14ac:dyDescent="0.35">
      <c r="A388" t="s">
        <v>10</v>
      </c>
      <c r="B388" t="s">
        <v>18</v>
      </c>
      <c r="C388" t="s">
        <v>25</v>
      </c>
      <c r="D388">
        <v>2019</v>
      </c>
      <c r="E388">
        <v>90</v>
      </c>
      <c r="F388">
        <v>73.33</v>
      </c>
      <c r="G388">
        <v>28.832495999999999</v>
      </c>
      <c r="H388">
        <v>34.19</v>
      </c>
      <c r="I388">
        <v>143350</v>
      </c>
      <c r="J388" t="s">
        <v>14</v>
      </c>
    </row>
    <row r="389" spans="1:10" x14ac:dyDescent="0.35">
      <c r="A389" t="s">
        <v>10</v>
      </c>
      <c r="B389" t="s">
        <v>18</v>
      </c>
      <c r="C389" t="s">
        <v>25</v>
      </c>
      <c r="D389">
        <v>2020</v>
      </c>
      <c r="E389">
        <v>90</v>
      </c>
      <c r="F389">
        <v>76.67</v>
      </c>
      <c r="G389">
        <v>29.348627</v>
      </c>
      <c r="H389">
        <v>33.43</v>
      </c>
      <c r="I389">
        <v>143350</v>
      </c>
      <c r="J389" t="s">
        <v>14</v>
      </c>
    </row>
    <row r="390" spans="1:10" x14ac:dyDescent="0.35">
      <c r="A390" t="s">
        <v>10</v>
      </c>
      <c r="B390" t="s">
        <v>18</v>
      </c>
      <c r="C390" t="s">
        <v>26</v>
      </c>
      <c r="D390">
        <v>2015</v>
      </c>
      <c r="E390">
        <v>90</v>
      </c>
      <c r="F390">
        <v>61.67</v>
      </c>
      <c r="G390">
        <v>210.96929800000001</v>
      </c>
      <c r="H390">
        <v>270.56</v>
      </c>
      <c r="I390">
        <v>770880</v>
      </c>
      <c r="J390">
        <v>3.57</v>
      </c>
    </row>
    <row r="391" spans="1:10" x14ac:dyDescent="0.35">
      <c r="A391" t="s">
        <v>10</v>
      </c>
      <c r="B391" t="s">
        <v>18</v>
      </c>
      <c r="C391" t="s">
        <v>26</v>
      </c>
      <c r="D391">
        <v>2016</v>
      </c>
      <c r="E391">
        <v>90</v>
      </c>
      <c r="F391">
        <v>63.33</v>
      </c>
      <c r="G391">
        <v>213.52484000000001</v>
      </c>
      <c r="H391">
        <v>313.63</v>
      </c>
      <c r="I391">
        <v>770880</v>
      </c>
      <c r="J391" t="s">
        <v>14</v>
      </c>
    </row>
    <row r="392" spans="1:10" x14ac:dyDescent="0.35">
      <c r="A392" t="s">
        <v>54</v>
      </c>
      <c r="B392" t="s">
        <v>55</v>
      </c>
      <c r="C392" t="s">
        <v>70</v>
      </c>
      <c r="D392">
        <v>2015</v>
      </c>
      <c r="E392">
        <v>90</v>
      </c>
      <c r="F392">
        <v>86</v>
      </c>
      <c r="G392">
        <v>2.7944450000000001</v>
      </c>
      <c r="H392">
        <v>14.19</v>
      </c>
      <c r="I392">
        <v>10830</v>
      </c>
      <c r="J392">
        <v>13.51</v>
      </c>
    </row>
    <row r="393" spans="1:10" x14ac:dyDescent="0.35">
      <c r="A393" t="s">
        <v>134</v>
      </c>
      <c r="B393" t="s">
        <v>144</v>
      </c>
      <c r="C393" t="s">
        <v>147</v>
      </c>
      <c r="D393">
        <v>2018</v>
      </c>
      <c r="E393">
        <v>90</v>
      </c>
      <c r="F393">
        <v>78</v>
      </c>
      <c r="G393">
        <v>4.5989000000000002E-2</v>
      </c>
      <c r="H393">
        <v>0.22</v>
      </c>
      <c r="I393">
        <v>180</v>
      </c>
      <c r="J393" t="s">
        <v>14</v>
      </c>
    </row>
    <row r="394" spans="1:10" x14ac:dyDescent="0.35">
      <c r="A394" t="s">
        <v>134</v>
      </c>
      <c r="B394" t="s">
        <v>144</v>
      </c>
      <c r="C394" t="s">
        <v>147</v>
      </c>
      <c r="D394">
        <v>2019</v>
      </c>
      <c r="E394">
        <v>90</v>
      </c>
      <c r="F394">
        <v>78</v>
      </c>
      <c r="G394">
        <v>4.4727999999999997E-2</v>
      </c>
      <c r="H394">
        <v>0.23</v>
      </c>
      <c r="I394">
        <v>180</v>
      </c>
      <c r="J394">
        <v>6.34</v>
      </c>
    </row>
    <row r="395" spans="1:10" x14ac:dyDescent="0.35">
      <c r="A395" t="s">
        <v>134</v>
      </c>
      <c r="B395" t="s">
        <v>144</v>
      </c>
      <c r="C395" t="s">
        <v>147</v>
      </c>
      <c r="D395">
        <v>2020</v>
      </c>
      <c r="E395">
        <v>90</v>
      </c>
      <c r="F395">
        <v>78</v>
      </c>
      <c r="G395">
        <v>4.3413E-2</v>
      </c>
      <c r="H395">
        <v>0.24</v>
      </c>
      <c r="I395">
        <v>180</v>
      </c>
      <c r="J395" t="s">
        <v>14</v>
      </c>
    </row>
    <row r="396" spans="1:10" x14ac:dyDescent="0.35">
      <c r="A396" t="s">
        <v>162</v>
      </c>
      <c r="B396" t="s">
        <v>194</v>
      </c>
      <c r="C396" t="s">
        <v>199</v>
      </c>
      <c r="D396">
        <v>2015</v>
      </c>
      <c r="E396">
        <v>90</v>
      </c>
      <c r="F396">
        <v>73.67</v>
      </c>
      <c r="G396">
        <v>55.876503999999997</v>
      </c>
      <c r="H396">
        <v>346.71</v>
      </c>
      <c r="I396">
        <v>1213090</v>
      </c>
      <c r="J396">
        <v>22.87</v>
      </c>
    </row>
    <row r="397" spans="1:10" x14ac:dyDescent="0.35">
      <c r="A397" t="s">
        <v>10</v>
      </c>
      <c r="B397" t="s">
        <v>11</v>
      </c>
      <c r="C397" t="s">
        <v>13</v>
      </c>
      <c r="D397">
        <v>2016</v>
      </c>
      <c r="E397">
        <v>90.33</v>
      </c>
      <c r="F397">
        <v>96.67</v>
      </c>
      <c r="G397" t="s">
        <v>14</v>
      </c>
      <c r="H397" t="s">
        <v>14</v>
      </c>
      <c r="I397" t="s">
        <v>14</v>
      </c>
      <c r="J397" t="s">
        <v>14</v>
      </c>
    </row>
    <row r="398" spans="1:10" x14ac:dyDescent="0.35">
      <c r="A398" t="s">
        <v>10</v>
      </c>
      <c r="B398" t="s">
        <v>18</v>
      </c>
      <c r="C398" t="s">
        <v>22</v>
      </c>
      <c r="D398">
        <v>2018</v>
      </c>
      <c r="E398">
        <v>90.33</v>
      </c>
      <c r="F398">
        <v>67</v>
      </c>
      <c r="G398">
        <v>1369.0033060000001</v>
      </c>
      <c r="H398">
        <v>2702.93</v>
      </c>
      <c r="I398">
        <v>2973190</v>
      </c>
      <c r="J398">
        <v>7.65</v>
      </c>
    </row>
    <row r="399" spans="1:10" x14ac:dyDescent="0.35">
      <c r="A399" t="s">
        <v>10</v>
      </c>
      <c r="B399" t="s">
        <v>18</v>
      </c>
      <c r="C399" t="s">
        <v>26</v>
      </c>
      <c r="D399">
        <v>2017</v>
      </c>
      <c r="E399">
        <v>90.33</v>
      </c>
      <c r="F399">
        <v>65.33</v>
      </c>
      <c r="G399">
        <v>216.37965500000001</v>
      </c>
      <c r="H399">
        <v>339.21</v>
      </c>
      <c r="I399">
        <v>770880</v>
      </c>
      <c r="J399" t="s">
        <v>14</v>
      </c>
    </row>
    <row r="400" spans="1:10" x14ac:dyDescent="0.35">
      <c r="A400" t="s">
        <v>10</v>
      </c>
      <c r="B400" t="s">
        <v>18</v>
      </c>
      <c r="C400" t="s">
        <v>26</v>
      </c>
      <c r="D400">
        <v>2018</v>
      </c>
      <c r="E400">
        <v>90.33</v>
      </c>
      <c r="F400">
        <v>67</v>
      </c>
      <c r="G400">
        <v>219.73147900000001</v>
      </c>
      <c r="H400">
        <v>356.13</v>
      </c>
      <c r="I400">
        <v>770880</v>
      </c>
      <c r="J400">
        <v>4.08</v>
      </c>
    </row>
    <row r="401" spans="1:10" x14ac:dyDescent="0.35">
      <c r="A401" t="s">
        <v>10</v>
      </c>
      <c r="B401" t="s">
        <v>18</v>
      </c>
      <c r="C401" t="s">
        <v>26</v>
      </c>
      <c r="D401">
        <v>2019</v>
      </c>
      <c r="E401">
        <v>90.33</v>
      </c>
      <c r="F401">
        <v>68.67</v>
      </c>
      <c r="G401">
        <v>223.29328000000001</v>
      </c>
      <c r="H401">
        <v>320.91000000000003</v>
      </c>
      <c r="I401">
        <v>770880</v>
      </c>
      <c r="J401">
        <v>4.83</v>
      </c>
    </row>
    <row r="402" spans="1:10" x14ac:dyDescent="0.35">
      <c r="A402" t="s">
        <v>54</v>
      </c>
      <c r="B402" t="s">
        <v>55</v>
      </c>
      <c r="C402" t="s">
        <v>70</v>
      </c>
      <c r="D402">
        <v>2016</v>
      </c>
      <c r="E402">
        <v>90.33</v>
      </c>
      <c r="F402">
        <v>86</v>
      </c>
      <c r="G402">
        <v>2.8026949999999999</v>
      </c>
      <c r="H402">
        <v>14.08</v>
      </c>
      <c r="I402">
        <v>10830</v>
      </c>
      <c r="J402">
        <v>8.6300000000000008</v>
      </c>
    </row>
    <row r="403" spans="1:10" x14ac:dyDescent="0.35">
      <c r="A403" t="s">
        <v>54</v>
      </c>
      <c r="B403" t="s">
        <v>55</v>
      </c>
      <c r="C403" t="s">
        <v>70</v>
      </c>
      <c r="D403">
        <v>2017</v>
      </c>
      <c r="E403">
        <v>90.33</v>
      </c>
      <c r="F403">
        <v>86.33</v>
      </c>
      <c r="G403">
        <v>2.808376</v>
      </c>
      <c r="H403">
        <v>14.81</v>
      </c>
      <c r="I403">
        <v>10830</v>
      </c>
      <c r="J403">
        <v>7.4</v>
      </c>
    </row>
    <row r="404" spans="1:10" x14ac:dyDescent="0.35">
      <c r="A404" t="s">
        <v>54</v>
      </c>
      <c r="B404" t="s">
        <v>55</v>
      </c>
      <c r="C404" t="s">
        <v>70</v>
      </c>
      <c r="D404">
        <v>2018</v>
      </c>
      <c r="E404">
        <v>90.33</v>
      </c>
      <c r="F404">
        <v>86.67</v>
      </c>
      <c r="G404">
        <v>2.8118349999999999</v>
      </c>
      <c r="H404">
        <v>15.73</v>
      </c>
      <c r="I404">
        <v>10830</v>
      </c>
      <c r="J404">
        <v>5.47</v>
      </c>
    </row>
    <row r="405" spans="1:10" x14ac:dyDescent="0.35">
      <c r="A405" t="s">
        <v>54</v>
      </c>
      <c r="B405" t="s">
        <v>55</v>
      </c>
      <c r="C405" t="s">
        <v>70</v>
      </c>
      <c r="D405">
        <v>2019</v>
      </c>
      <c r="E405">
        <v>90.33</v>
      </c>
      <c r="F405">
        <v>87</v>
      </c>
      <c r="G405">
        <v>2.8137729999999999</v>
      </c>
      <c r="H405">
        <v>15.83</v>
      </c>
      <c r="I405">
        <v>10830</v>
      </c>
      <c r="J405">
        <v>4.99</v>
      </c>
    </row>
    <row r="406" spans="1:10" x14ac:dyDescent="0.35">
      <c r="A406" t="s">
        <v>54</v>
      </c>
      <c r="B406" t="s">
        <v>55</v>
      </c>
      <c r="C406" t="s">
        <v>70</v>
      </c>
      <c r="D406">
        <v>2020</v>
      </c>
      <c r="E406">
        <v>90.33</v>
      </c>
      <c r="F406">
        <v>87</v>
      </c>
      <c r="G406">
        <v>2.8204359999999999</v>
      </c>
      <c r="H406">
        <v>13.81</v>
      </c>
      <c r="I406">
        <v>10830</v>
      </c>
      <c r="J406">
        <v>6.5</v>
      </c>
    </row>
    <row r="407" spans="1:10" x14ac:dyDescent="0.35">
      <c r="A407" t="s">
        <v>54</v>
      </c>
      <c r="B407" t="s">
        <v>92</v>
      </c>
      <c r="C407" t="s">
        <v>94</v>
      </c>
      <c r="D407">
        <v>2019</v>
      </c>
      <c r="E407">
        <v>90.33</v>
      </c>
      <c r="F407">
        <v>59.67</v>
      </c>
      <c r="G407" t="s">
        <v>14</v>
      </c>
      <c r="H407" t="s">
        <v>14</v>
      </c>
      <c r="I407" t="s">
        <v>14</v>
      </c>
      <c r="J407" t="s">
        <v>14</v>
      </c>
    </row>
    <row r="408" spans="1:10" x14ac:dyDescent="0.35">
      <c r="A408" t="s">
        <v>54</v>
      </c>
      <c r="B408" t="s">
        <v>92</v>
      </c>
      <c r="C408" t="s">
        <v>103</v>
      </c>
      <c r="D408">
        <v>2020</v>
      </c>
      <c r="E408">
        <v>90.33</v>
      </c>
      <c r="F408">
        <v>74.33</v>
      </c>
      <c r="G408">
        <v>33.304755999999998</v>
      </c>
      <c r="H408">
        <v>201.71</v>
      </c>
      <c r="I408">
        <v>1280000</v>
      </c>
      <c r="J408">
        <v>7.18</v>
      </c>
    </row>
    <row r="409" spans="1:10" x14ac:dyDescent="0.35">
      <c r="A409" t="s">
        <v>162</v>
      </c>
      <c r="B409" t="s">
        <v>194</v>
      </c>
      <c r="C409" t="s">
        <v>199</v>
      </c>
      <c r="D409">
        <v>2016</v>
      </c>
      <c r="E409">
        <v>90.33</v>
      </c>
      <c r="F409">
        <v>74.67</v>
      </c>
      <c r="G409">
        <v>56.422274000000002</v>
      </c>
      <c r="H409">
        <v>323.58999999999997</v>
      </c>
      <c r="I409">
        <v>1213090</v>
      </c>
      <c r="J409">
        <v>24.02</v>
      </c>
    </row>
    <row r="410" spans="1:10" x14ac:dyDescent="0.35">
      <c r="A410" t="s">
        <v>10</v>
      </c>
      <c r="B410" t="s">
        <v>18</v>
      </c>
      <c r="C410" t="s">
        <v>22</v>
      </c>
      <c r="D410">
        <v>2019</v>
      </c>
      <c r="E410">
        <v>90.67</v>
      </c>
      <c r="F410">
        <v>69.67</v>
      </c>
      <c r="G410">
        <v>1383.11205</v>
      </c>
      <c r="H410">
        <v>2831.55</v>
      </c>
      <c r="I410">
        <v>2973190</v>
      </c>
      <c r="J410">
        <v>6.51</v>
      </c>
    </row>
    <row r="411" spans="1:10" x14ac:dyDescent="0.35">
      <c r="A411" t="s">
        <v>10</v>
      </c>
      <c r="B411" t="s">
        <v>18</v>
      </c>
      <c r="C411" t="s">
        <v>26</v>
      </c>
      <c r="D411">
        <v>2020</v>
      </c>
      <c r="E411">
        <v>90.67</v>
      </c>
      <c r="F411">
        <v>70</v>
      </c>
      <c r="G411">
        <v>227.196741</v>
      </c>
      <c r="H411">
        <v>300.43</v>
      </c>
      <c r="I411">
        <v>770880</v>
      </c>
      <c r="J411" t="s">
        <v>14</v>
      </c>
    </row>
    <row r="412" spans="1:10" x14ac:dyDescent="0.35">
      <c r="A412" t="s">
        <v>28</v>
      </c>
      <c r="B412" t="s">
        <v>35</v>
      </c>
      <c r="C412" t="s">
        <v>38</v>
      </c>
      <c r="D412">
        <v>2018</v>
      </c>
      <c r="E412">
        <v>90.67</v>
      </c>
      <c r="F412">
        <v>80.67</v>
      </c>
      <c r="G412">
        <v>267.06684300000001</v>
      </c>
      <c r="H412">
        <v>1042.27</v>
      </c>
      <c r="I412">
        <v>1877519</v>
      </c>
      <c r="J412">
        <v>4.3899999999999997</v>
      </c>
    </row>
    <row r="413" spans="1:10" x14ac:dyDescent="0.35">
      <c r="A413" t="s">
        <v>54</v>
      </c>
      <c r="B413" t="s">
        <v>92</v>
      </c>
      <c r="C413" t="s">
        <v>94</v>
      </c>
      <c r="D413">
        <v>2020</v>
      </c>
      <c r="E413">
        <v>90.67</v>
      </c>
      <c r="F413">
        <v>61.67</v>
      </c>
      <c r="G413" t="s">
        <v>14</v>
      </c>
      <c r="H413" t="s">
        <v>14</v>
      </c>
      <c r="I413" t="s">
        <v>14</v>
      </c>
      <c r="J413" t="s">
        <v>14</v>
      </c>
    </row>
    <row r="414" spans="1:10" x14ac:dyDescent="0.35">
      <c r="A414" t="s">
        <v>10</v>
      </c>
      <c r="B414" t="s">
        <v>11</v>
      </c>
      <c r="C414" t="s">
        <v>13</v>
      </c>
      <c r="D414">
        <v>2017</v>
      </c>
      <c r="E414">
        <v>91</v>
      </c>
      <c r="F414">
        <v>97.33</v>
      </c>
      <c r="G414" t="s">
        <v>14</v>
      </c>
      <c r="H414" t="s">
        <v>14</v>
      </c>
      <c r="I414" t="s">
        <v>14</v>
      </c>
      <c r="J414" t="s">
        <v>14</v>
      </c>
    </row>
    <row r="415" spans="1:10" x14ac:dyDescent="0.35">
      <c r="A415" t="s">
        <v>10</v>
      </c>
      <c r="B415" t="s">
        <v>18</v>
      </c>
      <c r="C415" t="s">
        <v>22</v>
      </c>
      <c r="D415">
        <v>2020</v>
      </c>
      <c r="E415">
        <v>91</v>
      </c>
      <c r="F415">
        <v>72.33</v>
      </c>
      <c r="G415">
        <v>1396.387127</v>
      </c>
      <c r="H415">
        <v>2667.69</v>
      </c>
      <c r="I415">
        <v>2973190</v>
      </c>
      <c r="J415">
        <v>7.86</v>
      </c>
    </row>
    <row r="416" spans="1:10" x14ac:dyDescent="0.35">
      <c r="A416" t="s">
        <v>47</v>
      </c>
      <c r="B416" t="s">
        <v>48</v>
      </c>
      <c r="C416" t="s">
        <v>52</v>
      </c>
      <c r="D416">
        <v>2015</v>
      </c>
      <c r="E416">
        <v>91</v>
      </c>
      <c r="F416">
        <v>100</v>
      </c>
      <c r="G416" t="s">
        <v>14</v>
      </c>
      <c r="H416" t="s">
        <v>14</v>
      </c>
      <c r="I416" t="s">
        <v>14</v>
      </c>
      <c r="J416" t="s">
        <v>14</v>
      </c>
    </row>
    <row r="417" spans="1:10" x14ac:dyDescent="0.35">
      <c r="A417" t="s">
        <v>47</v>
      </c>
      <c r="B417" t="s">
        <v>48</v>
      </c>
      <c r="C417" t="s">
        <v>52</v>
      </c>
      <c r="D417">
        <v>2016</v>
      </c>
      <c r="E417">
        <v>91</v>
      </c>
      <c r="F417">
        <v>100</v>
      </c>
      <c r="G417" t="s">
        <v>14</v>
      </c>
      <c r="H417" t="s">
        <v>14</v>
      </c>
      <c r="I417" t="s">
        <v>14</v>
      </c>
      <c r="J417" t="s">
        <v>14</v>
      </c>
    </row>
    <row r="418" spans="1:10" x14ac:dyDescent="0.35">
      <c r="A418" t="s">
        <v>47</v>
      </c>
      <c r="B418" t="s">
        <v>48</v>
      </c>
      <c r="C418" t="s">
        <v>52</v>
      </c>
      <c r="D418">
        <v>2017</v>
      </c>
      <c r="E418">
        <v>91</v>
      </c>
      <c r="F418">
        <v>100</v>
      </c>
      <c r="G418" t="s">
        <v>14</v>
      </c>
      <c r="H418" t="s">
        <v>14</v>
      </c>
      <c r="I418" t="s">
        <v>14</v>
      </c>
      <c r="J418" t="s">
        <v>14</v>
      </c>
    </row>
    <row r="419" spans="1:10" x14ac:dyDescent="0.35">
      <c r="A419" t="s">
        <v>47</v>
      </c>
      <c r="B419" t="s">
        <v>48</v>
      </c>
      <c r="C419" t="s">
        <v>52</v>
      </c>
      <c r="D419">
        <v>2018</v>
      </c>
      <c r="E419">
        <v>91</v>
      </c>
      <c r="F419">
        <v>100</v>
      </c>
      <c r="G419" t="s">
        <v>14</v>
      </c>
      <c r="H419" t="s">
        <v>14</v>
      </c>
      <c r="I419" t="s">
        <v>14</v>
      </c>
      <c r="J419" t="s">
        <v>14</v>
      </c>
    </row>
    <row r="420" spans="1:10" x14ac:dyDescent="0.35">
      <c r="A420" t="s">
        <v>47</v>
      </c>
      <c r="B420" t="s">
        <v>48</v>
      </c>
      <c r="C420" t="s">
        <v>52</v>
      </c>
      <c r="D420">
        <v>2019</v>
      </c>
      <c r="E420">
        <v>91</v>
      </c>
      <c r="F420">
        <v>100</v>
      </c>
      <c r="G420" t="s">
        <v>14</v>
      </c>
      <c r="H420" t="s">
        <v>14</v>
      </c>
      <c r="I420" t="s">
        <v>14</v>
      </c>
      <c r="J420" t="s">
        <v>14</v>
      </c>
    </row>
    <row r="421" spans="1:10" x14ac:dyDescent="0.35">
      <c r="A421" t="s">
        <v>47</v>
      </c>
      <c r="B421" t="s">
        <v>48</v>
      </c>
      <c r="C421" t="s">
        <v>52</v>
      </c>
      <c r="D421">
        <v>2020</v>
      </c>
      <c r="E421">
        <v>91</v>
      </c>
      <c r="F421">
        <v>100</v>
      </c>
      <c r="G421" t="s">
        <v>14</v>
      </c>
      <c r="H421" t="s">
        <v>14</v>
      </c>
      <c r="I421" t="s">
        <v>14</v>
      </c>
      <c r="J421" t="s">
        <v>14</v>
      </c>
    </row>
    <row r="422" spans="1:10" x14ac:dyDescent="0.35">
      <c r="A422" t="s">
        <v>54</v>
      </c>
      <c r="B422" t="s">
        <v>92</v>
      </c>
      <c r="C422" t="s">
        <v>99</v>
      </c>
      <c r="D422">
        <v>2015</v>
      </c>
      <c r="E422">
        <v>91</v>
      </c>
      <c r="F422">
        <v>100</v>
      </c>
      <c r="G422" t="s">
        <v>14</v>
      </c>
      <c r="H422" t="s">
        <v>14</v>
      </c>
      <c r="I422" t="s">
        <v>14</v>
      </c>
      <c r="J422" t="s">
        <v>14</v>
      </c>
    </row>
    <row r="423" spans="1:10" x14ac:dyDescent="0.35">
      <c r="A423" t="s">
        <v>54</v>
      </c>
      <c r="B423" t="s">
        <v>92</v>
      </c>
      <c r="C423" t="s">
        <v>99</v>
      </c>
      <c r="D423">
        <v>2016</v>
      </c>
      <c r="E423">
        <v>91</v>
      </c>
      <c r="F423">
        <v>100</v>
      </c>
      <c r="G423" t="s">
        <v>14</v>
      </c>
      <c r="H423" t="s">
        <v>14</v>
      </c>
      <c r="I423" t="s">
        <v>14</v>
      </c>
      <c r="J423" t="s">
        <v>14</v>
      </c>
    </row>
    <row r="424" spans="1:10" x14ac:dyDescent="0.35">
      <c r="A424" t="s">
        <v>54</v>
      </c>
      <c r="B424" t="s">
        <v>92</v>
      </c>
      <c r="C424" t="s">
        <v>99</v>
      </c>
      <c r="D424">
        <v>2017</v>
      </c>
      <c r="E424">
        <v>91</v>
      </c>
      <c r="F424">
        <v>100</v>
      </c>
      <c r="G424" t="s">
        <v>14</v>
      </c>
      <c r="H424" t="s">
        <v>14</v>
      </c>
      <c r="I424" t="s">
        <v>14</v>
      </c>
      <c r="J424" t="s">
        <v>14</v>
      </c>
    </row>
    <row r="425" spans="1:10" x14ac:dyDescent="0.35">
      <c r="A425" t="s">
        <v>54</v>
      </c>
      <c r="B425" t="s">
        <v>92</v>
      </c>
      <c r="C425" t="s">
        <v>99</v>
      </c>
      <c r="D425">
        <v>2018</v>
      </c>
      <c r="E425">
        <v>91</v>
      </c>
      <c r="F425">
        <v>100</v>
      </c>
      <c r="G425" t="s">
        <v>14</v>
      </c>
      <c r="H425" t="s">
        <v>14</v>
      </c>
      <c r="I425" t="s">
        <v>14</v>
      </c>
      <c r="J425" t="s">
        <v>14</v>
      </c>
    </row>
    <row r="426" spans="1:10" x14ac:dyDescent="0.35">
      <c r="A426" t="s">
        <v>54</v>
      </c>
      <c r="B426" t="s">
        <v>92</v>
      </c>
      <c r="C426" t="s">
        <v>99</v>
      </c>
      <c r="D426">
        <v>2019</v>
      </c>
      <c r="E426">
        <v>91</v>
      </c>
      <c r="F426">
        <v>100</v>
      </c>
      <c r="G426" t="s">
        <v>14</v>
      </c>
      <c r="H426" t="s">
        <v>14</v>
      </c>
      <c r="I426" t="s">
        <v>14</v>
      </c>
      <c r="J426" t="s">
        <v>14</v>
      </c>
    </row>
    <row r="427" spans="1:10" x14ac:dyDescent="0.35">
      <c r="A427" t="s">
        <v>54</v>
      </c>
      <c r="B427" t="s">
        <v>92</v>
      </c>
      <c r="C427" t="s">
        <v>99</v>
      </c>
      <c r="D427">
        <v>2020</v>
      </c>
      <c r="E427">
        <v>91</v>
      </c>
      <c r="F427">
        <v>100</v>
      </c>
      <c r="G427" t="s">
        <v>14</v>
      </c>
      <c r="H427" t="s">
        <v>14</v>
      </c>
      <c r="I427" t="s">
        <v>14</v>
      </c>
      <c r="J427" t="s">
        <v>14</v>
      </c>
    </row>
    <row r="428" spans="1:10" x14ac:dyDescent="0.35">
      <c r="A428" t="s">
        <v>107</v>
      </c>
      <c r="B428" t="s">
        <v>115</v>
      </c>
      <c r="C428" t="s">
        <v>125</v>
      </c>
      <c r="D428">
        <v>2015</v>
      </c>
      <c r="E428">
        <v>91</v>
      </c>
      <c r="F428">
        <v>94</v>
      </c>
      <c r="G428">
        <v>6.3989399999999996</v>
      </c>
      <c r="H428">
        <v>49.93</v>
      </c>
      <c r="I428">
        <v>10230</v>
      </c>
      <c r="J428" t="s">
        <v>14</v>
      </c>
    </row>
    <row r="429" spans="1:10" x14ac:dyDescent="0.35">
      <c r="A429" t="s">
        <v>134</v>
      </c>
      <c r="B429" t="s">
        <v>152</v>
      </c>
      <c r="C429" t="s">
        <v>157</v>
      </c>
      <c r="D429">
        <v>2015</v>
      </c>
      <c r="E429">
        <v>91</v>
      </c>
      <c r="F429">
        <v>96</v>
      </c>
      <c r="G429">
        <v>0.203571</v>
      </c>
      <c r="H429">
        <v>0.82</v>
      </c>
      <c r="I429">
        <v>2830</v>
      </c>
      <c r="J429" t="s">
        <v>14</v>
      </c>
    </row>
    <row r="430" spans="1:10" x14ac:dyDescent="0.35">
      <c r="A430" t="s">
        <v>162</v>
      </c>
      <c r="B430" t="s">
        <v>194</v>
      </c>
      <c r="C430" t="s">
        <v>199</v>
      </c>
      <c r="D430">
        <v>2017</v>
      </c>
      <c r="E430">
        <v>91</v>
      </c>
      <c r="F430">
        <v>75.67</v>
      </c>
      <c r="G430">
        <v>56.641209000000003</v>
      </c>
      <c r="H430">
        <v>381.45</v>
      </c>
      <c r="I430">
        <v>1213090</v>
      </c>
      <c r="J430">
        <v>23.99</v>
      </c>
    </row>
    <row r="431" spans="1:10" x14ac:dyDescent="0.35">
      <c r="A431" t="s">
        <v>10</v>
      </c>
      <c r="B431" t="s">
        <v>11</v>
      </c>
      <c r="C431" t="s">
        <v>13</v>
      </c>
      <c r="D431">
        <v>2018</v>
      </c>
      <c r="E431">
        <v>91.33</v>
      </c>
      <c r="F431">
        <v>97.33</v>
      </c>
      <c r="G431" t="s">
        <v>14</v>
      </c>
      <c r="H431" t="s">
        <v>14</v>
      </c>
      <c r="I431" t="s">
        <v>14</v>
      </c>
      <c r="J431" t="s">
        <v>14</v>
      </c>
    </row>
    <row r="432" spans="1:10" x14ac:dyDescent="0.35">
      <c r="A432" t="s">
        <v>28</v>
      </c>
      <c r="B432" t="s">
        <v>29</v>
      </c>
      <c r="C432" t="s">
        <v>30</v>
      </c>
      <c r="D432">
        <v>2015</v>
      </c>
      <c r="E432">
        <v>91.33</v>
      </c>
      <c r="F432">
        <v>83.67</v>
      </c>
      <c r="G432">
        <v>1379.86</v>
      </c>
      <c r="H432">
        <v>11061.55</v>
      </c>
      <c r="I432">
        <v>9424701.4000000004</v>
      </c>
      <c r="J432" t="s">
        <v>14</v>
      </c>
    </row>
    <row r="433" spans="1:10" x14ac:dyDescent="0.35">
      <c r="A433" t="s">
        <v>28</v>
      </c>
      <c r="B433" t="s">
        <v>29</v>
      </c>
      <c r="C433" t="s">
        <v>30</v>
      </c>
      <c r="D433">
        <v>2016</v>
      </c>
      <c r="E433">
        <v>91.33</v>
      </c>
      <c r="F433">
        <v>85.67</v>
      </c>
      <c r="G433">
        <v>1387.79</v>
      </c>
      <c r="H433">
        <v>11233.28</v>
      </c>
      <c r="I433">
        <v>9424700.5</v>
      </c>
      <c r="J433" t="s">
        <v>14</v>
      </c>
    </row>
    <row r="434" spans="1:10" x14ac:dyDescent="0.35">
      <c r="A434" t="s">
        <v>28</v>
      </c>
      <c r="B434" t="s">
        <v>35</v>
      </c>
      <c r="C434" t="s">
        <v>38</v>
      </c>
      <c r="D434">
        <v>2019</v>
      </c>
      <c r="E434">
        <v>91.33</v>
      </c>
      <c r="F434">
        <v>83.33</v>
      </c>
      <c r="G434">
        <v>269.58287799999999</v>
      </c>
      <c r="H434">
        <v>1119.0999999999999</v>
      </c>
      <c r="I434">
        <v>1877519</v>
      </c>
      <c r="J434">
        <v>3.59</v>
      </c>
    </row>
    <row r="435" spans="1:10" x14ac:dyDescent="0.35">
      <c r="A435" t="s">
        <v>162</v>
      </c>
      <c r="B435" t="s">
        <v>194</v>
      </c>
      <c r="C435" t="s">
        <v>199</v>
      </c>
      <c r="D435">
        <v>2018</v>
      </c>
      <c r="E435">
        <v>91.33</v>
      </c>
      <c r="F435">
        <v>77</v>
      </c>
      <c r="G435">
        <v>57.339635000000001</v>
      </c>
      <c r="H435">
        <v>404.16</v>
      </c>
      <c r="I435">
        <v>1213090</v>
      </c>
      <c r="J435">
        <v>24.22</v>
      </c>
    </row>
    <row r="436" spans="1:10" x14ac:dyDescent="0.35">
      <c r="A436" t="s">
        <v>10</v>
      </c>
      <c r="B436" t="s">
        <v>11</v>
      </c>
      <c r="C436" t="s">
        <v>13</v>
      </c>
      <c r="D436">
        <v>2019</v>
      </c>
      <c r="E436">
        <v>91.67</v>
      </c>
      <c r="F436">
        <v>97.33</v>
      </c>
      <c r="G436" t="s">
        <v>14</v>
      </c>
      <c r="H436" t="s">
        <v>14</v>
      </c>
      <c r="I436" t="s">
        <v>14</v>
      </c>
      <c r="J436" t="s">
        <v>14</v>
      </c>
    </row>
    <row r="437" spans="1:10" x14ac:dyDescent="0.35">
      <c r="A437" t="s">
        <v>54</v>
      </c>
      <c r="B437" t="s">
        <v>83</v>
      </c>
      <c r="C437" t="s">
        <v>91</v>
      </c>
      <c r="D437">
        <v>2015</v>
      </c>
      <c r="E437">
        <v>91.67</v>
      </c>
      <c r="F437">
        <v>75.67</v>
      </c>
      <c r="G437">
        <v>3.9570989999999999</v>
      </c>
      <c r="H437">
        <v>54.09</v>
      </c>
      <c r="I437">
        <v>74120</v>
      </c>
      <c r="J437">
        <v>4.4000000000000004</v>
      </c>
    </row>
    <row r="438" spans="1:10" x14ac:dyDescent="0.35">
      <c r="A438" t="s">
        <v>54</v>
      </c>
      <c r="B438" t="s">
        <v>83</v>
      </c>
      <c r="C438" t="s">
        <v>91</v>
      </c>
      <c r="D438">
        <v>2016</v>
      </c>
      <c r="E438">
        <v>91.67</v>
      </c>
      <c r="F438">
        <v>76.67</v>
      </c>
      <c r="G438">
        <v>4.0263359999999997</v>
      </c>
      <c r="H438">
        <v>57.91</v>
      </c>
      <c r="I438">
        <v>74120</v>
      </c>
      <c r="J438">
        <v>4.84</v>
      </c>
    </row>
    <row r="439" spans="1:10" x14ac:dyDescent="0.35">
      <c r="A439" t="s">
        <v>54</v>
      </c>
      <c r="B439" t="s">
        <v>92</v>
      </c>
      <c r="C439" t="s">
        <v>98</v>
      </c>
      <c r="D439">
        <v>2015</v>
      </c>
      <c r="E439">
        <v>91.67</v>
      </c>
      <c r="F439">
        <v>85.33</v>
      </c>
      <c r="G439">
        <v>16.195902</v>
      </c>
      <c r="H439">
        <v>99.29</v>
      </c>
      <c r="I439">
        <v>248360</v>
      </c>
      <c r="J439">
        <v>3.62</v>
      </c>
    </row>
    <row r="440" spans="1:10" x14ac:dyDescent="0.35">
      <c r="A440" t="s">
        <v>107</v>
      </c>
      <c r="B440" t="s">
        <v>115</v>
      </c>
      <c r="C440" t="s">
        <v>117</v>
      </c>
      <c r="D440">
        <v>2015</v>
      </c>
      <c r="E440">
        <v>91.67</v>
      </c>
      <c r="F440">
        <v>96</v>
      </c>
      <c r="G440">
        <v>9.6493409999999997</v>
      </c>
      <c r="H440">
        <v>53.07</v>
      </c>
      <c r="I440">
        <v>82663</v>
      </c>
      <c r="J440">
        <v>4.96</v>
      </c>
    </row>
    <row r="441" spans="1:10" x14ac:dyDescent="0.35">
      <c r="A441" t="s">
        <v>162</v>
      </c>
      <c r="B441" t="s">
        <v>194</v>
      </c>
      <c r="C441" t="s">
        <v>199</v>
      </c>
      <c r="D441">
        <v>2019</v>
      </c>
      <c r="E441">
        <v>91.67</v>
      </c>
      <c r="F441">
        <v>78</v>
      </c>
      <c r="G441">
        <v>58.087054999999999</v>
      </c>
      <c r="H441">
        <v>388.53</v>
      </c>
      <c r="I441">
        <v>1213090</v>
      </c>
      <c r="J441">
        <v>25.54</v>
      </c>
    </row>
    <row r="442" spans="1:10" x14ac:dyDescent="0.35">
      <c r="A442" t="s">
        <v>10</v>
      </c>
      <c r="B442" t="s">
        <v>18</v>
      </c>
      <c r="C442" t="s">
        <v>27</v>
      </c>
      <c r="D442">
        <v>2015</v>
      </c>
      <c r="E442">
        <v>92</v>
      </c>
      <c r="F442">
        <v>90.67</v>
      </c>
      <c r="G442">
        <v>20.97</v>
      </c>
      <c r="H442">
        <v>85.14</v>
      </c>
      <c r="I442">
        <v>61893</v>
      </c>
      <c r="J442">
        <v>4.5199999999999996</v>
      </c>
    </row>
    <row r="443" spans="1:10" x14ac:dyDescent="0.35">
      <c r="A443" t="s">
        <v>28</v>
      </c>
      <c r="B443" t="s">
        <v>29</v>
      </c>
      <c r="C443" t="s">
        <v>30</v>
      </c>
      <c r="D443">
        <v>2017</v>
      </c>
      <c r="E443">
        <v>92</v>
      </c>
      <c r="F443">
        <v>87</v>
      </c>
      <c r="G443">
        <v>1396.2149999999999</v>
      </c>
      <c r="H443">
        <v>12310.41</v>
      </c>
      <c r="I443">
        <v>9424700.8000000007</v>
      </c>
      <c r="J443">
        <v>3.9</v>
      </c>
    </row>
    <row r="444" spans="1:10" x14ac:dyDescent="0.35">
      <c r="A444" t="s">
        <v>28</v>
      </c>
      <c r="B444" t="s">
        <v>35</v>
      </c>
      <c r="C444" t="s">
        <v>38</v>
      </c>
      <c r="D444">
        <v>2020</v>
      </c>
      <c r="E444">
        <v>92</v>
      </c>
      <c r="F444">
        <v>86</v>
      </c>
      <c r="G444">
        <v>271.85797000000002</v>
      </c>
      <c r="H444">
        <v>1058.69</v>
      </c>
      <c r="I444">
        <v>1877519</v>
      </c>
      <c r="J444">
        <v>4.25</v>
      </c>
    </row>
    <row r="445" spans="1:10" x14ac:dyDescent="0.35">
      <c r="A445" t="s">
        <v>28</v>
      </c>
      <c r="B445" t="s">
        <v>35</v>
      </c>
      <c r="C445" t="s">
        <v>42</v>
      </c>
      <c r="D445">
        <v>2015</v>
      </c>
      <c r="E445">
        <v>92</v>
      </c>
      <c r="F445">
        <v>75.33</v>
      </c>
      <c r="G445">
        <v>103.03136499999999</v>
      </c>
      <c r="H445">
        <v>306.45</v>
      </c>
      <c r="I445">
        <v>298170</v>
      </c>
      <c r="J445">
        <v>3.07</v>
      </c>
    </row>
    <row r="446" spans="1:10" x14ac:dyDescent="0.35">
      <c r="A446" t="s">
        <v>54</v>
      </c>
      <c r="B446" t="s">
        <v>83</v>
      </c>
      <c r="C446" t="s">
        <v>87</v>
      </c>
      <c r="D446">
        <v>2015</v>
      </c>
      <c r="E446">
        <v>92</v>
      </c>
      <c r="F446">
        <v>67</v>
      </c>
      <c r="G446">
        <v>15.567418999999999</v>
      </c>
      <c r="H446">
        <v>62.19</v>
      </c>
      <c r="I446">
        <v>107160</v>
      </c>
      <c r="J446">
        <v>2.5099999999999998</v>
      </c>
    </row>
    <row r="447" spans="1:10" x14ac:dyDescent="0.35">
      <c r="A447" t="s">
        <v>107</v>
      </c>
      <c r="B447" t="s">
        <v>108</v>
      </c>
      <c r="C447" t="s">
        <v>109</v>
      </c>
      <c r="D447">
        <v>2015</v>
      </c>
      <c r="E447">
        <v>92</v>
      </c>
      <c r="F447">
        <v>85</v>
      </c>
      <c r="G447">
        <v>39.543154000000001</v>
      </c>
      <c r="H447">
        <v>165.98</v>
      </c>
      <c r="I447">
        <v>2381741</v>
      </c>
      <c r="J447">
        <v>11.21</v>
      </c>
    </row>
    <row r="448" spans="1:10" x14ac:dyDescent="0.35">
      <c r="A448" t="s">
        <v>107</v>
      </c>
      <c r="B448" t="s">
        <v>115</v>
      </c>
      <c r="C448" t="s">
        <v>125</v>
      </c>
      <c r="D448">
        <v>2016</v>
      </c>
      <c r="E448">
        <v>92</v>
      </c>
      <c r="F448">
        <v>95</v>
      </c>
      <c r="G448">
        <v>6.2586190000000004</v>
      </c>
      <c r="H448">
        <v>51.15</v>
      </c>
      <c r="I448">
        <v>10230</v>
      </c>
      <c r="J448" t="s">
        <v>14</v>
      </c>
    </row>
    <row r="449" spans="1:10" x14ac:dyDescent="0.35">
      <c r="A449" t="s">
        <v>107</v>
      </c>
      <c r="B449" t="s">
        <v>115</v>
      </c>
      <c r="C449" t="s">
        <v>125</v>
      </c>
      <c r="D449">
        <v>2017</v>
      </c>
      <c r="E449">
        <v>92</v>
      </c>
      <c r="F449">
        <v>97</v>
      </c>
      <c r="G449">
        <v>6.1092519999999997</v>
      </c>
      <c r="H449">
        <v>53.03</v>
      </c>
      <c r="I449">
        <v>10230</v>
      </c>
      <c r="J449" t="s">
        <v>14</v>
      </c>
    </row>
    <row r="450" spans="1:10" x14ac:dyDescent="0.35">
      <c r="A450" t="s">
        <v>107</v>
      </c>
      <c r="B450" t="s">
        <v>115</v>
      </c>
      <c r="C450" t="s">
        <v>125</v>
      </c>
      <c r="D450">
        <v>2018</v>
      </c>
      <c r="E450">
        <v>92</v>
      </c>
      <c r="F450">
        <v>98</v>
      </c>
      <c r="G450">
        <v>5.9508390000000002</v>
      </c>
      <c r="H450">
        <v>54.9</v>
      </c>
      <c r="I450">
        <v>10230</v>
      </c>
      <c r="J450" t="s">
        <v>14</v>
      </c>
    </row>
    <row r="451" spans="1:10" x14ac:dyDescent="0.35">
      <c r="A451" t="s">
        <v>134</v>
      </c>
      <c r="B451" t="s">
        <v>138</v>
      </c>
      <c r="C451" t="s">
        <v>143</v>
      </c>
      <c r="D451">
        <v>2015</v>
      </c>
      <c r="E451">
        <v>92</v>
      </c>
      <c r="F451">
        <v>56</v>
      </c>
      <c r="G451">
        <v>0.27643800000000002</v>
      </c>
      <c r="H451">
        <v>0.73</v>
      </c>
      <c r="I451">
        <v>12190</v>
      </c>
      <c r="J451" t="s">
        <v>14</v>
      </c>
    </row>
    <row r="452" spans="1:10" x14ac:dyDescent="0.35">
      <c r="A452" t="s">
        <v>134</v>
      </c>
      <c r="B452" t="s">
        <v>152</v>
      </c>
      <c r="C452" t="s">
        <v>157</v>
      </c>
      <c r="D452">
        <v>2016</v>
      </c>
      <c r="E452">
        <v>92</v>
      </c>
      <c r="F452">
        <v>96</v>
      </c>
      <c r="G452">
        <v>0.205544</v>
      </c>
      <c r="H452">
        <v>0.84</v>
      </c>
      <c r="I452">
        <v>2830</v>
      </c>
      <c r="J452" t="s">
        <v>14</v>
      </c>
    </row>
    <row r="453" spans="1:10" x14ac:dyDescent="0.35">
      <c r="A453" t="s">
        <v>134</v>
      </c>
      <c r="B453" t="s">
        <v>152</v>
      </c>
      <c r="C453" t="s">
        <v>157</v>
      </c>
      <c r="D453">
        <v>2017</v>
      </c>
      <c r="E453">
        <v>92</v>
      </c>
      <c r="F453">
        <v>96.33</v>
      </c>
      <c r="G453">
        <v>0.20763000000000001</v>
      </c>
      <c r="H453">
        <v>0.88</v>
      </c>
      <c r="I453">
        <v>2780</v>
      </c>
      <c r="J453">
        <v>9.4</v>
      </c>
    </row>
    <row r="454" spans="1:10" x14ac:dyDescent="0.35">
      <c r="A454" t="s">
        <v>134</v>
      </c>
      <c r="B454" t="s">
        <v>152</v>
      </c>
      <c r="C454" t="s">
        <v>157</v>
      </c>
      <c r="D454">
        <v>2018</v>
      </c>
      <c r="E454">
        <v>92</v>
      </c>
      <c r="F454">
        <v>96.33</v>
      </c>
      <c r="G454">
        <v>0.209701</v>
      </c>
      <c r="H454">
        <v>0.88</v>
      </c>
      <c r="I454">
        <v>2780</v>
      </c>
      <c r="J454" t="s">
        <v>14</v>
      </c>
    </row>
    <row r="455" spans="1:10" x14ac:dyDescent="0.35">
      <c r="A455" t="s">
        <v>134</v>
      </c>
      <c r="B455" t="s">
        <v>152</v>
      </c>
      <c r="C455" t="s">
        <v>157</v>
      </c>
      <c r="D455">
        <v>2019</v>
      </c>
      <c r="E455">
        <v>92</v>
      </c>
      <c r="F455">
        <v>96.33</v>
      </c>
      <c r="G455">
        <v>0.21190500000000001</v>
      </c>
      <c r="H455">
        <v>0.91</v>
      </c>
      <c r="I455">
        <v>2780</v>
      </c>
      <c r="J455" t="s">
        <v>14</v>
      </c>
    </row>
    <row r="456" spans="1:10" x14ac:dyDescent="0.35">
      <c r="A456" t="s">
        <v>134</v>
      </c>
      <c r="B456" t="s">
        <v>152</v>
      </c>
      <c r="C456" t="s">
        <v>157</v>
      </c>
      <c r="D456">
        <v>2020</v>
      </c>
      <c r="E456">
        <v>92</v>
      </c>
      <c r="F456">
        <v>96.33</v>
      </c>
      <c r="G456">
        <v>0.21492900000000001</v>
      </c>
      <c r="H456">
        <v>0.87</v>
      </c>
      <c r="I456">
        <v>2780</v>
      </c>
      <c r="J456" t="s">
        <v>14</v>
      </c>
    </row>
    <row r="457" spans="1:10" x14ac:dyDescent="0.35">
      <c r="A457" t="s">
        <v>162</v>
      </c>
      <c r="B457" t="s">
        <v>194</v>
      </c>
      <c r="C457" t="s">
        <v>199</v>
      </c>
      <c r="D457">
        <v>2020</v>
      </c>
      <c r="E457">
        <v>92</v>
      </c>
      <c r="F457">
        <v>78.67</v>
      </c>
      <c r="G457">
        <v>58.801926999999999</v>
      </c>
      <c r="H457">
        <v>337.62</v>
      </c>
      <c r="I457">
        <v>1213090</v>
      </c>
      <c r="J457">
        <v>24.34</v>
      </c>
    </row>
    <row r="458" spans="1:10" x14ac:dyDescent="0.35">
      <c r="A458" t="s">
        <v>54</v>
      </c>
      <c r="B458" t="s">
        <v>83</v>
      </c>
      <c r="C458" t="s">
        <v>87</v>
      </c>
      <c r="D458">
        <v>2016</v>
      </c>
      <c r="E458">
        <v>92.33</v>
      </c>
      <c r="F458">
        <v>67</v>
      </c>
      <c r="G458">
        <v>15.82769</v>
      </c>
      <c r="H458">
        <v>66.05</v>
      </c>
      <c r="I458">
        <v>107160</v>
      </c>
      <c r="J458">
        <v>2.58</v>
      </c>
    </row>
    <row r="459" spans="1:10" x14ac:dyDescent="0.35">
      <c r="A459" t="s">
        <v>54</v>
      </c>
      <c r="B459" t="s">
        <v>83</v>
      </c>
      <c r="C459" t="s">
        <v>91</v>
      </c>
      <c r="D459">
        <v>2017</v>
      </c>
      <c r="E459">
        <v>92.33</v>
      </c>
      <c r="F459">
        <v>77.67</v>
      </c>
      <c r="G459">
        <v>4.096063</v>
      </c>
      <c r="H459">
        <v>62.2</v>
      </c>
      <c r="I459">
        <v>74120</v>
      </c>
      <c r="J459">
        <v>5.46</v>
      </c>
    </row>
    <row r="460" spans="1:10" x14ac:dyDescent="0.35">
      <c r="A460" t="s">
        <v>54</v>
      </c>
      <c r="B460" t="s">
        <v>83</v>
      </c>
      <c r="C460" t="s">
        <v>91</v>
      </c>
      <c r="D460">
        <v>2018</v>
      </c>
      <c r="E460">
        <v>92.33</v>
      </c>
      <c r="F460">
        <v>78.67</v>
      </c>
      <c r="G460">
        <v>4.1652550000000002</v>
      </c>
      <c r="H460">
        <v>64.930000000000007</v>
      </c>
      <c r="I460">
        <v>74180</v>
      </c>
      <c r="J460">
        <v>5.31</v>
      </c>
    </row>
    <row r="461" spans="1:10" x14ac:dyDescent="0.35">
      <c r="A461" t="s">
        <v>54</v>
      </c>
      <c r="B461" t="s">
        <v>92</v>
      </c>
      <c r="C461" t="s">
        <v>98</v>
      </c>
      <c r="D461">
        <v>2016</v>
      </c>
      <c r="E461">
        <v>92.33</v>
      </c>
      <c r="F461">
        <v>87</v>
      </c>
      <c r="G461">
        <v>16.439585000000001</v>
      </c>
      <c r="H461">
        <v>99.94</v>
      </c>
      <c r="I461">
        <v>248360</v>
      </c>
      <c r="J461">
        <v>4.5999999999999996</v>
      </c>
    </row>
    <row r="462" spans="1:10" x14ac:dyDescent="0.35">
      <c r="A462" t="s">
        <v>107</v>
      </c>
      <c r="B462" t="s">
        <v>115</v>
      </c>
      <c r="C462" t="s">
        <v>117</v>
      </c>
      <c r="D462">
        <v>2016</v>
      </c>
      <c r="E462">
        <v>92.33</v>
      </c>
      <c r="F462">
        <v>96</v>
      </c>
      <c r="G462">
        <v>9.7578119999999995</v>
      </c>
      <c r="H462">
        <v>37.869999999999997</v>
      </c>
      <c r="I462">
        <v>82670</v>
      </c>
      <c r="J462">
        <v>5</v>
      </c>
    </row>
    <row r="463" spans="1:10" x14ac:dyDescent="0.35">
      <c r="A463" t="s">
        <v>107</v>
      </c>
      <c r="B463" t="s">
        <v>115</v>
      </c>
      <c r="C463" t="s">
        <v>121</v>
      </c>
      <c r="D463">
        <v>2015</v>
      </c>
      <c r="E463">
        <v>92.33</v>
      </c>
      <c r="F463">
        <v>92</v>
      </c>
      <c r="G463">
        <v>37.757812999999999</v>
      </c>
      <c r="H463">
        <v>166.77</v>
      </c>
      <c r="I463">
        <v>434128</v>
      </c>
      <c r="J463" t="s">
        <v>14</v>
      </c>
    </row>
    <row r="464" spans="1:10" x14ac:dyDescent="0.35">
      <c r="A464" t="s">
        <v>10</v>
      </c>
      <c r="B464" t="s">
        <v>11</v>
      </c>
      <c r="C464" t="s">
        <v>13</v>
      </c>
      <c r="D464">
        <v>2020</v>
      </c>
      <c r="E464">
        <v>92.67</v>
      </c>
      <c r="F464">
        <v>97.67</v>
      </c>
      <c r="G464" t="s">
        <v>14</v>
      </c>
      <c r="H464" t="s">
        <v>14</v>
      </c>
      <c r="I464" t="s">
        <v>14</v>
      </c>
      <c r="J464" t="s">
        <v>14</v>
      </c>
    </row>
    <row r="465" spans="1:10" x14ac:dyDescent="0.35">
      <c r="A465" t="s">
        <v>28</v>
      </c>
      <c r="B465" t="s">
        <v>29</v>
      </c>
      <c r="C465" t="s">
        <v>30</v>
      </c>
      <c r="D465">
        <v>2018</v>
      </c>
      <c r="E465">
        <v>92.67</v>
      </c>
      <c r="F465">
        <v>88.33</v>
      </c>
      <c r="G465">
        <v>1402.76</v>
      </c>
      <c r="H465">
        <v>13894.82</v>
      </c>
      <c r="I465">
        <v>9424702.9000000004</v>
      </c>
      <c r="J465">
        <v>4.93</v>
      </c>
    </row>
    <row r="466" spans="1:10" x14ac:dyDescent="0.35">
      <c r="A466" t="s">
        <v>28</v>
      </c>
      <c r="B466" t="s">
        <v>35</v>
      </c>
      <c r="C466" t="s">
        <v>42</v>
      </c>
      <c r="D466">
        <v>2016</v>
      </c>
      <c r="E466">
        <v>92.67</v>
      </c>
      <c r="F466">
        <v>76.67</v>
      </c>
      <c r="G466">
        <v>104.875266</v>
      </c>
      <c r="H466">
        <v>318.63</v>
      </c>
      <c r="I466">
        <v>298170</v>
      </c>
      <c r="J466">
        <v>2.7</v>
      </c>
    </row>
    <row r="467" spans="1:10" x14ac:dyDescent="0.35">
      <c r="A467" t="s">
        <v>54</v>
      </c>
      <c r="B467" t="s">
        <v>83</v>
      </c>
      <c r="C467" t="s">
        <v>87</v>
      </c>
      <c r="D467">
        <v>2017</v>
      </c>
      <c r="E467">
        <v>92.67</v>
      </c>
      <c r="F467">
        <v>67</v>
      </c>
      <c r="G467">
        <v>16.087418</v>
      </c>
      <c r="H467">
        <v>71.650000000000006</v>
      </c>
      <c r="I467">
        <v>107160</v>
      </c>
      <c r="J467">
        <v>2.46</v>
      </c>
    </row>
    <row r="468" spans="1:10" x14ac:dyDescent="0.35">
      <c r="A468" t="s">
        <v>54</v>
      </c>
      <c r="B468" t="s">
        <v>83</v>
      </c>
      <c r="C468" t="s">
        <v>88</v>
      </c>
      <c r="D468">
        <v>2015</v>
      </c>
      <c r="E468">
        <v>92.67</v>
      </c>
      <c r="F468">
        <v>78.67</v>
      </c>
      <c r="G468">
        <v>9.2945049999999991</v>
      </c>
      <c r="H468">
        <v>20.98</v>
      </c>
      <c r="I468">
        <v>111890</v>
      </c>
      <c r="J468">
        <v>6.15</v>
      </c>
    </row>
    <row r="469" spans="1:10" x14ac:dyDescent="0.35">
      <c r="A469" t="s">
        <v>54</v>
      </c>
      <c r="B469" t="s">
        <v>83</v>
      </c>
      <c r="C469" t="s">
        <v>91</v>
      </c>
      <c r="D469">
        <v>2019</v>
      </c>
      <c r="E469">
        <v>92.67</v>
      </c>
      <c r="F469">
        <v>79.67</v>
      </c>
      <c r="G469">
        <v>4.232532</v>
      </c>
      <c r="H469">
        <v>66.98</v>
      </c>
      <c r="I469">
        <v>74180</v>
      </c>
      <c r="J469">
        <v>6.41</v>
      </c>
    </row>
    <row r="470" spans="1:10" x14ac:dyDescent="0.35">
      <c r="A470" t="s">
        <v>54</v>
      </c>
      <c r="B470" t="s">
        <v>83</v>
      </c>
      <c r="C470" t="s">
        <v>91</v>
      </c>
      <c r="D470">
        <v>2020</v>
      </c>
      <c r="E470">
        <v>92.67</v>
      </c>
      <c r="F470">
        <v>81</v>
      </c>
      <c r="G470">
        <v>4.2943959999999999</v>
      </c>
      <c r="H470">
        <v>53.98</v>
      </c>
      <c r="I470">
        <v>74180</v>
      </c>
      <c r="J470">
        <v>18.55</v>
      </c>
    </row>
    <row r="471" spans="1:10" x14ac:dyDescent="0.35">
      <c r="A471" t="s">
        <v>54</v>
      </c>
      <c r="B471" t="s">
        <v>92</v>
      </c>
      <c r="C471" t="s">
        <v>98</v>
      </c>
      <c r="D471">
        <v>2017</v>
      </c>
      <c r="E471">
        <v>92.67</v>
      </c>
      <c r="F471">
        <v>88.33</v>
      </c>
      <c r="G471">
        <v>16.696943999999998</v>
      </c>
      <c r="H471">
        <v>104.3</v>
      </c>
      <c r="I471">
        <v>248360</v>
      </c>
      <c r="J471">
        <v>3.84</v>
      </c>
    </row>
    <row r="472" spans="1:10" x14ac:dyDescent="0.35">
      <c r="A472" t="s">
        <v>134</v>
      </c>
      <c r="B472" t="s">
        <v>138</v>
      </c>
      <c r="C472" t="s">
        <v>143</v>
      </c>
      <c r="D472">
        <v>2016</v>
      </c>
      <c r="E472">
        <v>92.67</v>
      </c>
      <c r="F472">
        <v>55.67</v>
      </c>
      <c r="G472">
        <v>0.28321800000000003</v>
      </c>
      <c r="H472">
        <v>0.78</v>
      </c>
      <c r="I472">
        <v>12190</v>
      </c>
      <c r="J472" t="s">
        <v>14</v>
      </c>
    </row>
    <row r="473" spans="1:10" x14ac:dyDescent="0.35">
      <c r="A473" t="s">
        <v>10</v>
      </c>
      <c r="B473" t="s">
        <v>18</v>
      </c>
      <c r="C473" t="s">
        <v>27</v>
      </c>
      <c r="D473">
        <v>2016</v>
      </c>
      <c r="E473">
        <v>93</v>
      </c>
      <c r="F473">
        <v>91.67</v>
      </c>
      <c r="G473">
        <v>21.202999999999999</v>
      </c>
      <c r="H473">
        <v>88.01</v>
      </c>
      <c r="I473">
        <v>61893</v>
      </c>
      <c r="J473">
        <v>4.24</v>
      </c>
    </row>
    <row r="474" spans="1:10" x14ac:dyDescent="0.35">
      <c r="A474" t="s">
        <v>28</v>
      </c>
      <c r="B474" t="s">
        <v>35</v>
      </c>
      <c r="C474" t="s">
        <v>42</v>
      </c>
      <c r="D474">
        <v>2017</v>
      </c>
      <c r="E474">
        <v>93</v>
      </c>
      <c r="F474">
        <v>78</v>
      </c>
      <c r="G474">
        <v>106.738501</v>
      </c>
      <c r="H474">
        <v>328.48</v>
      </c>
      <c r="I474">
        <v>298170</v>
      </c>
      <c r="J474">
        <v>2.5499999999999998</v>
      </c>
    </row>
    <row r="475" spans="1:10" x14ac:dyDescent="0.35">
      <c r="A475" t="s">
        <v>54</v>
      </c>
      <c r="B475" t="s">
        <v>83</v>
      </c>
      <c r="C475" t="s">
        <v>87</v>
      </c>
      <c r="D475">
        <v>2018</v>
      </c>
      <c r="E475">
        <v>93</v>
      </c>
      <c r="F475">
        <v>67.33</v>
      </c>
      <c r="G475">
        <v>16.34695</v>
      </c>
      <c r="H475">
        <v>73.33</v>
      </c>
      <c r="I475">
        <v>107160</v>
      </c>
      <c r="J475">
        <v>2.2799999999999998</v>
      </c>
    </row>
    <row r="476" spans="1:10" x14ac:dyDescent="0.35">
      <c r="A476" t="s">
        <v>54</v>
      </c>
      <c r="B476" t="s">
        <v>92</v>
      </c>
      <c r="C476" t="s">
        <v>97</v>
      </c>
      <c r="D476">
        <v>2015</v>
      </c>
      <c r="E476">
        <v>93</v>
      </c>
      <c r="F476">
        <v>86.33</v>
      </c>
      <c r="G476">
        <v>47.119728000000002</v>
      </c>
      <c r="H476">
        <v>293.48</v>
      </c>
      <c r="I476">
        <v>1109500</v>
      </c>
      <c r="J476">
        <v>8.57</v>
      </c>
    </row>
    <row r="477" spans="1:10" x14ac:dyDescent="0.35">
      <c r="A477" t="s">
        <v>107</v>
      </c>
      <c r="B477" t="s">
        <v>108</v>
      </c>
      <c r="C477" t="s">
        <v>109</v>
      </c>
      <c r="D477">
        <v>2016</v>
      </c>
      <c r="E477">
        <v>93</v>
      </c>
      <c r="F477">
        <v>85.33</v>
      </c>
      <c r="G477">
        <v>40.339328999999999</v>
      </c>
      <c r="H477">
        <v>160.03</v>
      </c>
      <c r="I477">
        <v>2381741</v>
      </c>
      <c r="J477">
        <v>10.199999999999999</v>
      </c>
    </row>
    <row r="478" spans="1:10" x14ac:dyDescent="0.35">
      <c r="A478" t="s">
        <v>107</v>
      </c>
      <c r="B478" t="s">
        <v>108</v>
      </c>
      <c r="C478" t="s">
        <v>109</v>
      </c>
      <c r="D478">
        <v>2017</v>
      </c>
      <c r="E478">
        <v>93</v>
      </c>
      <c r="F478">
        <v>84.67</v>
      </c>
      <c r="G478">
        <v>41.136546000000003</v>
      </c>
      <c r="H478">
        <v>170.1</v>
      </c>
      <c r="I478">
        <v>2381741</v>
      </c>
      <c r="J478">
        <v>12</v>
      </c>
    </row>
    <row r="479" spans="1:10" x14ac:dyDescent="0.35">
      <c r="A479" t="s">
        <v>107</v>
      </c>
      <c r="B479" t="s">
        <v>108</v>
      </c>
      <c r="C479" t="s">
        <v>109</v>
      </c>
      <c r="D479">
        <v>2018</v>
      </c>
      <c r="E479">
        <v>93</v>
      </c>
      <c r="F479">
        <v>84.67</v>
      </c>
      <c r="G479">
        <v>41.927007000000003</v>
      </c>
      <c r="H479">
        <v>174.91</v>
      </c>
      <c r="I479">
        <v>2381741</v>
      </c>
      <c r="J479" t="s">
        <v>14</v>
      </c>
    </row>
    <row r="480" spans="1:10" x14ac:dyDescent="0.35">
      <c r="A480" t="s">
        <v>107</v>
      </c>
      <c r="B480" t="s">
        <v>115</v>
      </c>
      <c r="C480" t="s">
        <v>125</v>
      </c>
      <c r="D480">
        <v>2019</v>
      </c>
      <c r="E480">
        <v>93</v>
      </c>
      <c r="F480">
        <v>99</v>
      </c>
      <c r="G480">
        <v>5.7819070000000004</v>
      </c>
      <c r="H480">
        <v>51.95</v>
      </c>
      <c r="I480">
        <v>10230</v>
      </c>
      <c r="J480">
        <v>11.3</v>
      </c>
    </row>
    <row r="481" spans="1:10" x14ac:dyDescent="0.35">
      <c r="A481" t="s">
        <v>107</v>
      </c>
      <c r="B481" t="s">
        <v>115</v>
      </c>
      <c r="C481" t="s">
        <v>125</v>
      </c>
      <c r="D481">
        <v>2020</v>
      </c>
      <c r="E481">
        <v>93</v>
      </c>
      <c r="F481">
        <v>99</v>
      </c>
      <c r="G481">
        <v>5.6629230000000002</v>
      </c>
      <c r="H481">
        <v>31.71</v>
      </c>
      <c r="I481">
        <v>10230</v>
      </c>
      <c r="J481" t="s">
        <v>14</v>
      </c>
    </row>
    <row r="482" spans="1:10" x14ac:dyDescent="0.35">
      <c r="A482" t="s">
        <v>134</v>
      </c>
      <c r="B482" t="s">
        <v>138</v>
      </c>
      <c r="C482" t="s">
        <v>143</v>
      </c>
      <c r="D482">
        <v>2017</v>
      </c>
      <c r="E482">
        <v>93</v>
      </c>
      <c r="F482">
        <v>55.67</v>
      </c>
      <c r="G482">
        <v>0.29023900000000002</v>
      </c>
      <c r="H482">
        <v>0.88</v>
      </c>
      <c r="I482">
        <v>12190</v>
      </c>
      <c r="J482" t="s">
        <v>14</v>
      </c>
    </row>
    <row r="483" spans="1:10" x14ac:dyDescent="0.35">
      <c r="A483" t="s">
        <v>134</v>
      </c>
      <c r="B483" t="s">
        <v>138</v>
      </c>
      <c r="C483" t="s">
        <v>143</v>
      </c>
      <c r="D483">
        <v>2018</v>
      </c>
      <c r="E483">
        <v>93</v>
      </c>
      <c r="F483">
        <v>55.67</v>
      </c>
      <c r="G483">
        <v>0.29729800000000001</v>
      </c>
      <c r="H483">
        <v>0.91</v>
      </c>
      <c r="I483">
        <v>12190</v>
      </c>
      <c r="J483" t="s">
        <v>14</v>
      </c>
    </row>
    <row r="484" spans="1:10" x14ac:dyDescent="0.35">
      <c r="A484" t="s">
        <v>134</v>
      </c>
      <c r="B484" t="s">
        <v>138</v>
      </c>
      <c r="C484" t="s">
        <v>143</v>
      </c>
      <c r="D484">
        <v>2019</v>
      </c>
      <c r="E484">
        <v>93</v>
      </c>
      <c r="F484">
        <v>55.67</v>
      </c>
      <c r="G484">
        <v>0.30440400000000001</v>
      </c>
      <c r="H484">
        <v>0.94</v>
      </c>
      <c r="I484">
        <v>12190</v>
      </c>
      <c r="J484">
        <v>5.44</v>
      </c>
    </row>
    <row r="485" spans="1:10" x14ac:dyDescent="0.35">
      <c r="A485" t="s">
        <v>134</v>
      </c>
      <c r="B485" t="s">
        <v>138</v>
      </c>
      <c r="C485" t="s">
        <v>143</v>
      </c>
      <c r="D485">
        <v>2020</v>
      </c>
      <c r="E485">
        <v>93</v>
      </c>
      <c r="F485">
        <v>55.67</v>
      </c>
      <c r="G485">
        <v>0.31168499999999999</v>
      </c>
      <c r="H485">
        <v>0.9</v>
      </c>
      <c r="I485">
        <v>12190</v>
      </c>
      <c r="J485">
        <v>4.05</v>
      </c>
    </row>
    <row r="486" spans="1:10" x14ac:dyDescent="0.35">
      <c r="A486" t="s">
        <v>28</v>
      </c>
      <c r="B486" t="s">
        <v>29</v>
      </c>
      <c r="C486" t="s">
        <v>30</v>
      </c>
      <c r="D486">
        <v>2019</v>
      </c>
      <c r="E486">
        <v>93.33</v>
      </c>
      <c r="F486">
        <v>90.33</v>
      </c>
      <c r="G486">
        <v>1407.7449999999999</v>
      </c>
      <c r="H486">
        <v>14279.94</v>
      </c>
      <c r="I486">
        <v>9424702.9000000004</v>
      </c>
      <c r="J486">
        <v>5.15</v>
      </c>
    </row>
    <row r="487" spans="1:10" x14ac:dyDescent="0.35">
      <c r="A487" t="s">
        <v>28</v>
      </c>
      <c r="B487" t="s">
        <v>29</v>
      </c>
      <c r="C487" t="s">
        <v>31</v>
      </c>
      <c r="D487">
        <v>2018</v>
      </c>
      <c r="E487">
        <v>93.33</v>
      </c>
      <c r="F487">
        <v>82.67</v>
      </c>
      <c r="G487" t="s">
        <v>14</v>
      </c>
      <c r="H487" t="s">
        <v>14</v>
      </c>
      <c r="I487" t="s">
        <v>14</v>
      </c>
      <c r="J487" t="s">
        <v>14</v>
      </c>
    </row>
    <row r="488" spans="1:10" x14ac:dyDescent="0.35">
      <c r="A488" t="s">
        <v>28</v>
      </c>
      <c r="B488" t="s">
        <v>29</v>
      </c>
      <c r="C488" t="s">
        <v>31</v>
      </c>
      <c r="D488">
        <v>2019</v>
      </c>
      <c r="E488">
        <v>93.33</v>
      </c>
      <c r="F488">
        <v>83.33</v>
      </c>
      <c r="G488" t="s">
        <v>14</v>
      </c>
      <c r="H488" t="s">
        <v>14</v>
      </c>
      <c r="I488" t="s">
        <v>14</v>
      </c>
      <c r="J488" t="s">
        <v>14</v>
      </c>
    </row>
    <row r="489" spans="1:10" x14ac:dyDescent="0.35">
      <c r="A489" t="s">
        <v>28</v>
      </c>
      <c r="B489" t="s">
        <v>29</v>
      </c>
      <c r="C489" t="s">
        <v>31</v>
      </c>
      <c r="D489">
        <v>2020</v>
      </c>
      <c r="E489">
        <v>93.33</v>
      </c>
      <c r="F489">
        <v>83.33</v>
      </c>
      <c r="G489" t="s">
        <v>14</v>
      </c>
      <c r="H489" t="s">
        <v>14</v>
      </c>
      <c r="I489" t="s">
        <v>14</v>
      </c>
      <c r="J489" t="s">
        <v>14</v>
      </c>
    </row>
    <row r="490" spans="1:10" x14ac:dyDescent="0.35">
      <c r="A490" t="s">
        <v>28</v>
      </c>
      <c r="B490" t="s">
        <v>35</v>
      </c>
      <c r="C490" t="s">
        <v>42</v>
      </c>
      <c r="D490">
        <v>2018</v>
      </c>
      <c r="E490">
        <v>93.33</v>
      </c>
      <c r="F490">
        <v>79.33</v>
      </c>
      <c r="G490">
        <v>108.568836</v>
      </c>
      <c r="H490">
        <v>346.84</v>
      </c>
      <c r="I490">
        <v>298170</v>
      </c>
      <c r="J490">
        <v>2.34</v>
      </c>
    </row>
    <row r="491" spans="1:10" x14ac:dyDescent="0.35">
      <c r="A491" t="s">
        <v>54</v>
      </c>
      <c r="B491" t="s">
        <v>83</v>
      </c>
      <c r="C491" t="s">
        <v>88</v>
      </c>
      <c r="D491">
        <v>2016</v>
      </c>
      <c r="E491">
        <v>93.33</v>
      </c>
      <c r="F491">
        <v>79.67</v>
      </c>
      <c r="G491">
        <v>9.4607980000000005</v>
      </c>
      <c r="H491">
        <v>21.72</v>
      </c>
      <c r="I491">
        <v>111890</v>
      </c>
      <c r="J491">
        <v>6.73</v>
      </c>
    </row>
    <row r="492" spans="1:10" x14ac:dyDescent="0.35">
      <c r="A492" t="s">
        <v>54</v>
      </c>
      <c r="B492" t="s">
        <v>92</v>
      </c>
      <c r="C492" t="s">
        <v>98</v>
      </c>
      <c r="D492">
        <v>2018</v>
      </c>
      <c r="E492">
        <v>93.33</v>
      </c>
      <c r="F492">
        <v>89.33</v>
      </c>
      <c r="G492">
        <v>17.015671999999999</v>
      </c>
      <c r="H492">
        <v>107.56</v>
      </c>
      <c r="I492">
        <v>248360</v>
      </c>
      <c r="J492">
        <v>3.53</v>
      </c>
    </row>
    <row r="493" spans="1:10" x14ac:dyDescent="0.35">
      <c r="A493" t="s">
        <v>107</v>
      </c>
      <c r="B493" t="s">
        <v>108</v>
      </c>
      <c r="C493" t="s">
        <v>109</v>
      </c>
      <c r="D493">
        <v>2019</v>
      </c>
      <c r="E493">
        <v>93.33</v>
      </c>
      <c r="F493">
        <v>84.67</v>
      </c>
      <c r="G493">
        <v>42.705368</v>
      </c>
      <c r="H493">
        <v>171.77</v>
      </c>
      <c r="I493">
        <v>2381741</v>
      </c>
      <c r="J493" t="s">
        <v>14</v>
      </c>
    </row>
    <row r="494" spans="1:10" x14ac:dyDescent="0.35">
      <c r="A494" t="s">
        <v>107</v>
      </c>
      <c r="B494" t="s">
        <v>108</v>
      </c>
      <c r="C494" t="s">
        <v>109</v>
      </c>
      <c r="D494">
        <v>2020</v>
      </c>
      <c r="E494">
        <v>93.33</v>
      </c>
      <c r="F494">
        <v>84.33</v>
      </c>
      <c r="G494">
        <v>43.451666000000003</v>
      </c>
      <c r="H494">
        <v>145.01</v>
      </c>
      <c r="I494">
        <v>2381741</v>
      </c>
      <c r="J494" t="s">
        <v>14</v>
      </c>
    </row>
    <row r="495" spans="1:10" x14ac:dyDescent="0.35">
      <c r="A495" t="s">
        <v>107</v>
      </c>
      <c r="B495" t="s">
        <v>108</v>
      </c>
      <c r="C495" t="s">
        <v>114</v>
      </c>
      <c r="D495">
        <v>2015</v>
      </c>
      <c r="E495">
        <v>93.33</v>
      </c>
      <c r="F495">
        <v>90.33</v>
      </c>
      <c r="G495">
        <v>11.557779</v>
      </c>
      <c r="H495">
        <v>45.78</v>
      </c>
      <c r="I495">
        <v>155360</v>
      </c>
      <c r="J495">
        <v>15.16</v>
      </c>
    </row>
    <row r="496" spans="1:10" x14ac:dyDescent="0.35">
      <c r="A496" t="s">
        <v>107</v>
      </c>
      <c r="B496" t="s">
        <v>115</v>
      </c>
      <c r="C496" t="s">
        <v>130</v>
      </c>
      <c r="D496">
        <v>2015</v>
      </c>
      <c r="E496">
        <v>93.33</v>
      </c>
      <c r="F496">
        <v>90</v>
      </c>
      <c r="G496">
        <v>19.205178</v>
      </c>
      <c r="H496">
        <v>16.47</v>
      </c>
      <c r="I496">
        <v>183630</v>
      </c>
      <c r="J496" t="s">
        <v>14</v>
      </c>
    </row>
    <row r="497" spans="1:10" x14ac:dyDescent="0.35">
      <c r="A497" t="s">
        <v>10</v>
      </c>
      <c r="B497" t="s">
        <v>18</v>
      </c>
      <c r="C497" t="s">
        <v>27</v>
      </c>
      <c r="D497">
        <v>2017</v>
      </c>
      <c r="E497">
        <v>93.67</v>
      </c>
      <c r="F497">
        <v>92.67</v>
      </c>
      <c r="G497">
        <v>21.443999999999999</v>
      </c>
      <c r="H497">
        <v>94.38</v>
      </c>
      <c r="I497">
        <v>61893</v>
      </c>
      <c r="J497">
        <v>4.05</v>
      </c>
    </row>
    <row r="498" spans="1:10" x14ac:dyDescent="0.35">
      <c r="A498" t="s">
        <v>28</v>
      </c>
      <c r="B498" t="s">
        <v>29</v>
      </c>
      <c r="C498" t="s">
        <v>30</v>
      </c>
      <c r="D498">
        <v>2020</v>
      </c>
      <c r="E498">
        <v>93.67</v>
      </c>
      <c r="F498">
        <v>91.67</v>
      </c>
      <c r="G498">
        <v>1411.1</v>
      </c>
      <c r="H498">
        <v>14687.67</v>
      </c>
      <c r="I498">
        <v>9424702.9000000004</v>
      </c>
      <c r="J498">
        <v>5.61</v>
      </c>
    </row>
    <row r="499" spans="1:10" x14ac:dyDescent="0.35">
      <c r="A499" t="s">
        <v>28</v>
      </c>
      <c r="B499" t="s">
        <v>35</v>
      </c>
      <c r="C499" t="s">
        <v>42</v>
      </c>
      <c r="D499">
        <v>2019</v>
      </c>
      <c r="E499">
        <v>93.67</v>
      </c>
      <c r="F499">
        <v>81</v>
      </c>
      <c r="G499">
        <v>110.380804</v>
      </c>
      <c r="H499">
        <v>376.82</v>
      </c>
      <c r="I499">
        <v>298170</v>
      </c>
      <c r="J499">
        <v>2.2400000000000002</v>
      </c>
    </row>
    <row r="500" spans="1:10" x14ac:dyDescent="0.35">
      <c r="A500" t="s">
        <v>54</v>
      </c>
      <c r="B500" t="s">
        <v>83</v>
      </c>
      <c r="C500" t="s">
        <v>88</v>
      </c>
      <c r="D500">
        <v>2017</v>
      </c>
      <c r="E500">
        <v>93.67</v>
      </c>
      <c r="F500">
        <v>80.67</v>
      </c>
      <c r="G500">
        <v>9.6268419999999999</v>
      </c>
      <c r="H500">
        <v>23.14</v>
      </c>
      <c r="I500">
        <v>111890</v>
      </c>
      <c r="J500">
        <v>5.53</v>
      </c>
    </row>
    <row r="501" spans="1:10" x14ac:dyDescent="0.35">
      <c r="A501" t="s">
        <v>54</v>
      </c>
      <c r="B501" t="s">
        <v>92</v>
      </c>
      <c r="C501" t="s">
        <v>97</v>
      </c>
      <c r="D501">
        <v>2016</v>
      </c>
      <c r="E501">
        <v>93.67</v>
      </c>
      <c r="F501">
        <v>87.33</v>
      </c>
      <c r="G501">
        <v>47.625954999999998</v>
      </c>
      <c r="H501">
        <v>282.83</v>
      </c>
      <c r="I501">
        <v>1109500</v>
      </c>
      <c r="J501">
        <v>8.92</v>
      </c>
    </row>
    <row r="502" spans="1:10" x14ac:dyDescent="0.35">
      <c r="A502" t="s">
        <v>54</v>
      </c>
      <c r="B502" t="s">
        <v>92</v>
      </c>
      <c r="C502" t="s">
        <v>98</v>
      </c>
      <c r="D502">
        <v>2019</v>
      </c>
      <c r="E502">
        <v>93.67</v>
      </c>
      <c r="F502">
        <v>90</v>
      </c>
      <c r="G502">
        <v>17.34374</v>
      </c>
      <c r="H502">
        <v>108.11</v>
      </c>
      <c r="I502">
        <v>248360</v>
      </c>
      <c r="J502">
        <v>3.81</v>
      </c>
    </row>
    <row r="503" spans="1:10" x14ac:dyDescent="0.35">
      <c r="A503" t="s">
        <v>107</v>
      </c>
      <c r="B503" t="s">
        <v>108</v>
      </c>
      <c r="C503" t="s">
        <v>114</v>
      </c>
      <c r="D503">
        <v>2016</v>
      </c>
      <c r="E503">
        <v>93.67</v>
      </c>
      <c r="F503">
        <v>92</v>
      </c>
      <c r="G503">
        <v>11.685667</v>
      </c>
      <c r="H503">
        <v>44.36</v>
      </c>
      <c r="I503">
        <v>155360</v>
      </c>
      <c r="J503">
        <v>15.56</v>
      </c>
    </row>
    <row r="504" spans="1:10" x14ac:dyDescent="0.35">
      <c r="A504" t="s">
        <v>107</v>
      </c>
      <c r="B504" t="s">
        <v>115</v>
      </c>
      <c r="C504" t="s">
        <v>117</v>
      </c>
      <c r="D504">
        <v>2017</v>
      </c>
      <c r="E504">
        <v>93.67</v>
      </c>
      <c r="F504">
        <v>96</v>
      </c>
      <c r="G504">
        <v>9.8540329999999994</v>
      </c>
      <c r="H504">
        <v>40.869999999999997</v>
      </c>
      <c r="I504">
        <v>82662</v>
      </c>
      <c r="J504">
        <v>4.96</v>
      </c>
    </row>
    <row r="505" spans="1:10" x14ac:dyDescent="0.35">
      <c r="A505" t="s">
        <v>107</v>
      </c>
      <c r="B505" t="s">
        <v>115</v>
      </c>
      <c r="C505" t="s">
        <v>121</v>
      </c>
      <c r="D505">
        <v>2016</v>
      </c>
      <c r="E505">
        <v>93.67</v>
      </c>
      <c r="F505">
        <v>94.33</v>
      </c>
      <c r="G505">
        <v>38.697943000000002</v>
      </c>
      <c r="H505">
        <v>166.6</v>
      </c>
      <c r="I505">
        <v>434128</v>
      </c>
      <c r="J505">
        <v>10.82</v>
      </c>
    </row>
    <row r="506" spans="1:10" x14ac:dyDescent="0.35">
      <c r="A506" t="s">
        <v>107</v>
      </c>
      <c r="B506" t="s">
        <v>115</v>
      </c>
      <c r="C506" t="s">
        <v>130</v>
      </c>
      <c r="D506">
        <v>2016</v>
      </c>
      <c r="E506">
        <v>93.67</v>
      </c>
      <c r="F506">
        <v>90</v>
      </c>
      <c r="G506">
        <v>18.964251999999998</v>
      </c>
      <c r="H506">
        <v>12.6</v>
      </c>
      <c r="I506">
        <v>183630</v>
      </c>
      <c r="J506" t="s">
        <v>14</v>
      </c>
    </row>
    <row r="507" spans="1:10" x14ac:dyDescent="0.35">
      <c r="A507" t="s">
        <v>107</v>
      </c>
      <c r="B507" t="s">
        <v>115</v>
      </c>
      <c r="C507" t="s">
        <v>130</v>
      </c>
      <c r="D507">
        <v>2017</v>
      </c>
      <c r="E507">
        <v>93.67</v>
      </c>
      <c r="F507">
        <v>90</v>
      </c>
      <c r="G507">
        <v>18.983373</v>
      </c>
      <c r="H507">
        <v>16.37</v>
      </c>
      <c r="I507">
        <v>183630</v>
      </c>
      <c r="J507" t="s">
        <v>14</v>
      </c>
    </row>
    <row r="508" spans="1:10" x14ac:dyDescent="0.35">
      <c r="A508" t="s">
        <v>107</v>
      </c>
      <c r="B508" t="s">
        <v>115</v>
      </c>
      <c r="C508" t="s">
        <v>130</v>
      </c>
      <c r="D508">
        <v>2018</v>
      </c>
      <c r="E508">
        <v>93.67</v>
      </c>
      <c r="F508">
        <v>89.67</v>
      </c>
      <c r="G508">
        <v>19.333462999999998</v>
      </c>
      <c r="H508">
        <v>21.35</v>
      </c>
      <c r="I508">
        <v>183630</v>
      </c>
      <c r="J508" t="s">
        <v>14</v>
      </c>
    </row>
    <row r="509" spans="1:10" x14ac:dyDescent="0.35">
      <c r="A509" t="s">
        <v>107</v>
      </c>
      <c r="B509" t="s">
        <v>115</v>
      </c>
      <c r="C509" t="s">
        <v>130</v>
      </c>
      <c r="D509">
        <v>2019</v>
      </c>
      <c r="E509">
        <v>93.67</v>
      </c>
      <c r="F509">
        <v>90</v>
      </c>
      <c r="G509">
        <v>20.098251000000001</v>
      </c>
      <c r="H509">
        <v>22.44</v>
      </c>
      <c r="I509">
        <v>183630</v>
      </c>
      <c r="J509" t="s">
        <v>14</v>
      </c>
    </row>
    <row r="510" spans="1:10" x14ac:dyDescent="0.35">
      <c r="A510" t="s">
        <v>107</v>
      </c>
      <c r="B510" t="s">
        <v>115</v>
      </c>
      <c r="C510" t="s">
        <v>130</v>
      </c>
      <c r="D510">
        <v>2020</v>
      </c>
      <c r="E510">
        <v>93.67</v>
      </c>
      <c r="F510">
        <v>90</v>
      </c>
      <c r="G510">
        <v>20.772594999999999</v>
      </c>
      <c r="H510">
        <v>11.08</v>
      </c>
      <c r="I510">
        <v>183630</v>
      </c>
      <c r="J510" t="s">
        <v>14</v>
      </c>
    </row>
    <row r="511" spans="1:10" x14ac:dyDescent="0.35">
      <c r="A511" t="s">
        <v>134</v>
      </c>
      <c r="B511" t="s">
        <v>138</v>
      </c>
      <c r="C511" t="s">
        <v>139</v>
      </c>
      <c r="D511">
        <v>2015</v>
      </c>
      <c r="E511">
        <v>93.67</v>
      </c>
      <c r="F511">
        <v>96</v>
      </c>
      <c r="G511">
        <v>0.91720000000000002</v>
      </c>
      <c r="H511">
        <v>4.68</v>
      </c>
      <c r="I511">
        <v>18270</v>
      </c>
      <c r="J511" t="s">
        <v>14</v>
      </c>
    </row>
    <row r="512" spans="1:10" x14ac:dyDescent="0.35">
      <c r="A512" t="s">
        <v>134</v>
      </c>
      <c r="B512" t="s">
        <v>138</v>
      </c>
      <c r="C512" t="s">
        <v>139</v>
      </c>
      <c r="D512">
        <v>2016</v>
      </c>
      <c r="E512">
        <v>93.67</v>
      </c>
      <c r="F512">
        <v>97.33</v>
      </c>
      <c r="G512">
        <v>0.91837100000000005</v>
      </c>
      <c r="H512">
        <v>4.93</v>
      </c>
      <c r="I512">
        <v>18270</v>
      </c>
      <c r="J512">
        <v>4.32</v>
      </c>
    </row>
    <row r="513" spans="1:10" x14ac:dyDescent="0.35">
      <c r="A513" t="s">
        <v>134</v>
      </c>
      <c r="B513" t="s">
        <v>138</v>
      </c>
      <c r="C513" t="s">
        <v>139</v>
      </c>
      <c r="D513">
        <v>2017</v>
      </c>
      <c r="E513">
        <v>93.67</v>
      </c>
      <c r="F513">
        <v>98.33</v>
      </c>
      <c r="G513">
        <v>0.91901900000000003</v>
      </c>
      <c r="H513">
        <v>5.35</v>
      </c>
      <c r="I513">
        <v>18270</v>
      </c>
      <c r="J513" t="s">
        <v>14</v>
      </c>
    </row>
    <row r="514" spans="1:10" x14ac:dyDescent="0.35">
      <c r="A514" t="s">
        <v>134</v>
      </c>
      <c r="B514" t="s">
        <v>138</v>
      </c>
      <c r="C514" t="s">
        <v>139</v>
      </c>
      <c r="D514">
        <v>2018</v>
      </c>
      <c r="E514">
        <v>93.67</v>
      </c>
      <c r="F514">
        <v>99</v>
      </c>
      <c r="G514">
        <v>0.91899600000000004</v>
      </c>
      <c r="H514">
        <v>5.58</v>
      </c>
      <c r="I514">
        <v>18270</v>
      </c>
      <c r="J514" t="s">
        <v>14</v>
      </c>
    </row>
    <row r="515" spans="1:10" x14ac:dyDescent="0.35">
      <c r="A515" t="s">
        <v>134</v>
      </c>
      <c r="B515" t="s">
        <v>138</v>
      </c>
      <c r="C515" t="s">
        <v>139</v>
      </c>
      <c r="D515">
        <v>2019</v>
      </c>
      <c r="E515">
        <v>93.67</v>
      </c>
      <c r="F515">
        <v>99</v>
      </c>
      <c r="G515">
        <v>0.91846499999999998</v>
      </c>
      <c r="H515">
        <v>5.48</v>
      </c>
      <c r="I515">
        <v>18270</v>
      </c>
      <c r="J515" t="s">
        <v>14</v>
      </c>
    </row>
    <row r="516" spans="1:10" x14ac:dyDescent="0.35">
      <c r="A516" t="s">
        <v>134</v>
      </c>
      <c r="B516" t="s">
        <v>138</v>
      </c>
      <c r="C516" t="s">
        <v>139</v>
      </c>
      <c r="D516">
        <v>2020</v>
      </c>
      <c r="E516">
        <v>93.67</v>
      </c>
      <c r="F516">
        <v>99</v>
      </c>
      <c r="G516">
        <v>0.92042199999999996</v>
      </c>
      <c r="H516">
        <v>4.4800000000000004</v>
      </c>
      <c r="I516">
        <v>18270</v>
      </c>
      <c r="J516" t="s">
        <v>14</v>
      </c>
    </row>
    <row r="517" spans="1:10" x14ac:dyDescent="0.35">
      <c r="A517" t="s">
        <v>28</v>
      </c>
      <c r="B517" t="s">
        <v>29</v>
      </c>
      <c r="C517" t="s">
        <v>31</v>
      </c>
      <c r="D517">
        <v>2017</v>
      </c>
      <c r="E517">
        <v>94</v>
      </c>
      <c r="F517">
        <v>81.67</v>
      </c>
      <c r="G517" t="s">
        <v>14</v>
      </c>
      <c r="H517" t="s">
        <v>14</v>
      </c>
      <c r="I517" t="s">
        <v>14</v>
      </c>
      <c r="J517" t="s">
        <v>14</v>
      </c>
    </row>
    <row r="518" spans="1:10" x14ac:dyDescent="0.35">
      <c r="A518" t="s">
        <v>28</v>
      </c>
      <c r="B518" t="s">
        <v>35</v>
      </c>
      <c r="C518" t="s">
        <v>42</v>
      </c>
      <c r="D518">
        <v>2020</v>
      </c>
      <c r="E518">
        <v>94</v>
      </c>
      <c r="F518">
        <v>82</v>
      </c>
      <c r="G518">
        <v>112.190977</v>
      </c>
      <c r="H518">
        <v>361.75</v>
      </c>
      <c r="I518">
        <v>298170</v>
      </c>
      <c r="J518">
        <v>2.52</v>
      </c>
    </row>
    <row r="519" spans="1:10" x14ac:dyDescent="0.35">
      <c r="A519" t="s">
        <v>28</v>
      </c>
      <c r="B519" t="s">
        <v>35</v>
      </c>
      <c r="C519" t="s">
        <v>46</v>
      </c>
      <c r="D519">
        <v>2015</v>
      </c>
      <c r="E519">
        <v>94</v>
      </c>
      <c r="F519">
        <v>83</v>
      </c>
      <c r="G519" t="s">
        <v>14</v>
      </c>
      <c r="H519" t="s">
        <v>14</v>
      </c>
      <c r="I519" t="s">
        <v>14</v>
      </c>
      <c r="J519" t="s">
        <v>14</v>
      </c>
    </row>
    <row r="520" spans="1:10" x14ac:dyDescent="0.35">
      <c r="A520" t="s">
        <v>54</v>
      </c>
      <c r="B520" t="s">
        <v>55</v>
      </c>
      <c r="C520" t="s">
        <v>81</v>
      </c>
      <c r="D520">
        <v>2015</v>
      </c>
      <c r="E520">
        <v>94</v>
      </c>
      <c r="F520">
        <v>88</v>
      </c>
      <c r="G520">
        <v>3.6538000000000001E-2</v>
      </c>
      <c r="H520">
        <v>0.94</v>
      </c>
      <c r="I520">
        <v>950</v>
      </c>
      <c r="J520" t="s">
        <v>14</v>
      </c>
    </row>
    <row r="521" spans="1:10" x14ac:dyDescent="0.35">
      <c r="A521" t="s">
        <v>54</v>
      </c>
      <c r="B521" t="s">
        <v>55</v>
      </c>
      <c r="C521" t="s">
        <v>81</v>
      </c>
      <c r="D521">
        <v>2016</v>
      </c>
      <c r="E521">
        <v>94</v>
      </c>
      <c r="F521">
        <v>88</v>
      </c>
      <c r="G521">
        <v>3.8246000000000002E-2</v>
      </c>
      <c r="H521">
        <v>1.03</v>
      </c>
      <c r="I521">
        <v>950</v>
      </c>
      <c r="J521" t="s">
        <v>14</v>
      </c>
    </row>
    <row r="522" spans="1:10" x14ac:dyDescent="0.35">
      <c r="A522" t="s">
        <v>54</v>
      </c>
      <c r="B522" t="s">
        <v>55</v>
      </c>
      <c r="C522" t="s">
        <v>81</v>
      </c>
      <c r="D522">
        <v>2017</v>
      </c>
      <c r="E522">
        <v>94</v>
      </c>
      <c r="F522">
        <v>88</v>
      </c>
      <c r="G522">
        <v>3.9843999999999997E-2</v>
      </c>
      <c r="H522">
        <v>1.02</v>
      </c>
      <c r="I522">
        <v>950</v>
      </c>
      <c r="J522" t="s">
        <v>14</v>
      </c>
    </row>
    <row r="523" spans="1:10" x14ac:dyDescent="0.35">
      <c r="A523" t="s">
        <v>54</v>
      </c>
      <c r="B523" t="s">
        <v>55</v>
      </c>
      <c r="C523" t="s">
        <v>81</v>
      </c>
      <c r="D523">
        <v>2018</v>
      </c>
      <c r="E523">
        <v>94</v>
      </c>
      <c r="F523">
        <v>88</v>
      </c>
      <c r="G523">
        <v>4.1487000000000003E-2</v>
      </c>
      <c r="H523">
        <v>1.1100000000000001</v>
      </c>
      <c r="I523">
        <v>950</v>
      </c>
      <c r="J523" t="s">
        <v>14</v>
      </c>
    </row>
    <row r="524" spans="1:10" x14ac:dyDescent="0.35">
      <c r="A524" t="s">
        <v>54</v>
      </c>
      <c r="B524" t="s">
        <v>83</v>
      </c>
      <c r="C524" t="s">
        <v>87</v>
      </c>
      <c r="D524">
        <v>2019</v>
      </c>
      <c r="E524">
        <v>94</v>
      </c>
      <c r="F524">
        <v>67.67</v>
      </c>
      <c r="G524">
        <v>16.604026000000001</v>
      </c>
      <c r="H524">
        <v>77.17</v>
      </c>
      <c r="I524">
        <v>107160</v>
      </c>
      <c r="J524">
        <v>2.19</v>
      </c>
    </row>
    <row r="525" spans="1:10" x14ac:dyDescent="0.35">
      <c r="A525" t="s">
        <v>54</v>
      </c>
      <c r="B525" t="s">
        <v>83</v>
      </c>
      <c r="C525" t="s">
        <v>87</v>
      </c>
      <c r="D525">
        <v>2020</v>
      </c>
      <c r="E525">
        <v>94</v>
      </c>
      <c r="F525">
        <v>67.67</v>
      </c>
      <c r="G525">
        <v>16.858332999999998</v>
      </c>
      <c r="H525">
        <v>77.63</v>
      </c>
      <c r="I525">
        <v>107160</v>
      </c>
      <c r="J525" t="s">
        <v>14</v>
      </c>
    </row>
    <row r="526" spans="1:10" x14ac:dyDescent="0.35">
      <c r="A526" t="s">
        <v>54</v>
      </c>
      <c r="B526" t="s">
        <v>92</v>
      </c>
      <c r="C526" t="s">
        <v>97</v>
      </c>
      <c r="D526">
        <v>2017</v>
      </c>
      <c r="E526">
        <v>94</v>
      </c>
      <c r="F526">
        <v>88</v>
      </c>
      <c r="G526">
        <v>48.351671000000003</v>
      </c>
      <c r="H526">
        <v>311.88</v>
      </c>
      <c r="I526">
        <v>1109500</v>
      </c>
      <c r="J526">
        <v>9.09</v>
      </c>
    </row>
    <row r="527" spans="1:10" x14ac:dyDescent="0.35">
      <c r="A527" t="s">
        <v>54</v>
      </c>
      <c r="B527" t="s">
        <v>92</v>
      </c>
      <c r="C527" t="s">
        <v>97</v>
      </c>
      <c r="D527">
        <v>2018</v>
      </c>
      <c r="E527">
        <v>94</v>
      </c>
      <c r="F527">
        <v>89.33</v>
      </c>
      <c r="G527">
        <v>49.276961</v>
      </c>
      <c r="H527">
        <v>334.2</v>
      </c>
      <c r="I527">
        <v>1109500</v>
      </c>
      <c r="J527">
        <v>9.36</v>
      </c>
    </row>
    <row r="528" spans="1:10" x14ac:dyDescent="0.35">
      <c r="A528" t="s">
        <v>54</v>
      </c>
      <c r="B528" t="s">
        <v>92</v>
      </c>
      <c r="C528" t="s">
        <v>98</v>
      </c>
      <c r="D528">
        <v>2020</v>
      </c>
      <c r="E528">
        <v>94</v>
      </c>
      <c r="F528">
        <v>91.33</v>
      </c>
      <c r="G528">
        <v>17.588595000000002</v>
      </c>
      <c r="H528">
        <v>99.29</v>
      </c>
      <c r="I528">
        <v>248360</v>
      </c>
      <c r="J528">
        <v>6.11</v>
      </c>
    </row>
    <row r="529" spans="1:10" x14ac:dyDescent="0.35">
      <c r="A529" t="s">
        <v>54</v>
      </c>
      <c r="B529" t="s">
        <v>92</v>
      </c>
      <c r="C529" t="s">
        <v>100</v>
      </c>
      <c r="D529">
        <v>2015</v>
      </c>
      <c r="E529">
        <v>94</v>
      </c>
      <c r="F529">
        <v>92</v>
      </c>
      <c r="G529" t="s">
        <v>14</v>
      </c>
      <c r="H529" t="s">
        <v>14</v>
      </c>
      <c r="I529" t="s">
        <v>14</v>
      </c>
      <c r="J529" t="s">
        <v>14</v>
      </c>
    </row>
    <row r="530" spans="1:10" x14ac:dyDescent="0.35">
      <c r="A530" t="s">
        <v>54</v>
      </c>
      <c r="B530" t="s">
        <v>92</v>
      </c>
      <c r="C530" t="s">
        <v>100</v>
      </c>
      <c r="D530">
        <v>2016</v>
      </c>
      <c r="E530">
        <v>94</v>
      </c>
      <c r="F530">
        <v>92</v>
      </c>
      <c r="G530" t="s">
        <v>14</v>
      </c>
      <c r="H530" t="s">
        <v>14</v>
      </c>
      <c r="I530" t="s">
        <v>14</v>
      </c>
      <c r="J530" t="s">
        <v>14</v>
      </c>
    </row>
    <row r="531" spans="1:10" x14ac:dyDescent="0.35">
      <c r="A531" t="s">
        <v>54</v>
      </c>
      <c r="B531" t="s">
        <v>92</v>
      </c>
      <c r="C531" t="s">
        <v>100</v>
      </c>
      <c r="D531">
        <v>2017</v>
      </c>
      <c r="E531">
        <v>94</v>
      </c>
      <c r="F531">
        <v>92</v>
      </c>
      <c r="G531" t="s">
        <v>14</v>
      </c>
      <c r="H531" t="s">
        <v>14</v>
      </c>
      <c r="I531" t="s">
        <v>14</v>
      </c>
      <c r="J531" t="s">
        <v>14</v>
      </c>
    </row>
    <row r="532" spans="1:10" x14ac:dyDescent="0.35">
      <c r="A532" t="s">
        <v>54</v>
      </c>
      <c r="B532" t="s">
        <v>92</v>
      </c>
      <c r="C532" t="s">
        <v>100</v>
      </c>
      <c r="D532">
        <v>2018</v>
      </c>
      <c r="E532">
        <v>94</v>
      </c>
      <c r="F532">
        <v>92</v>
      </c>
      <c r="G532" t="s">
        <v>14</v>
      </c>
      <c r="H532" t="s">
        <v>14</v>
      </c>
      <c r="I532" t="s">
        <v>14</v>
      </c>
      <c r="J532" t="s">
        <v>14</v>
      </c>
    </row>
    <row r="533" spans="1:10" x14ac:dyDescent="0.35">
      <c r="A533" t="s">
        <v>54</v>
      </c>
      <c r="B533" t="s">
        <v>92</v>
      </c>
      <c r="C533" t="s">
        <v>100</v>
      </c>
      <c r="D533">
        <v>2019</v>
      </c>
      <c r="E533">
        <v>94</v>
      </c>
      <c r="F533">
        <v>92</v>
      </c>
      <c r="G533" t="s">
        <v>14</v>
      </c>
      <c r="H533" t="s">
        <v>14</v>
      </c>
      <c r="I533" t="s">
        <v>14</v>
      </c>
      <c r="J533" t="s">
        <v>14</v>
      </c>
    </row>
    <row r="534" spans="1:10" x14ac:dyDescent="0.35">
      <c r="A534" t="s">
        <v>54</v>
      </c>
      <c r="B534" t="s">
        <v>92</v>
      </c>
      <c r="C534" t="s">
        <v>100</v>
      </c>
      <c r="D534">
        <v>2020</v>
      </c>
      <c r="E534">
        <v>94</v>
      </c>
      <c r="F534">
        <v>92</v>
      </c>
      <c r="G534" t="s">
        <v>14</v>
      </c>
      <c r="H534" t="s">
        <v>14</v>
      </c>
      <c r="I534" t="s">
        <v>14</v>
      </c>
      <c r="J534" t="s">
        <v>14</v>
      </c>
    </row>
    <row r="535" spans="1:10" x14ac:dyDescent="0.35">
      <c r="A535" t="s">
        <v>54</v>
      </c>
      <c r="B535" t="s">
        <v>92</v>
      </c>
      <c r="C535" t="s">
        <v>106</v>
      </c>
      <c r="D535">
        <v>2016</v>
      </c>
      <c r="E535">
        <v>94</v>
      </c>
      <c r="F535">
        <v>95</v>
      </c>
      <c r="G535" t="s">
        <v>14</v>
      </c>
      <c r="H535" t="s">
        <v>14</v>
      </c>
      <c r="I535" t="s">
        <v>14</v>
      </c>
      <c r="J535" t="s">
        <v>14</v>
      </c>
    </row>
    <row r="536" spans="1:10" x14ac:dyDescent="0.35">
      <c r="A536" t="s">
        <v>54</v>
      </c>
      <c r="B536" t="s">
        <v>92</v>
      </c>
      <c r="C536" t="s">
        <v>106</v>
      </c>
      <c r="D536">
        <v>2017</v>
      </c>
      <c r="E536">
        <v>94</v>
      </c>
      <c r="F536">
        <v>95</v>
      </c>
      <c r="G536" t="s">
        <v>14</v>
      </c>
      <c r="H536" t="s">
        <v>14</v>
      </c>
      <c r="I536" t="s">
        <v>14</v>
      </c>
      <c r="J536" t="s">
        <v>14</v>
      </c>
    </row>
    <row r="537" spans="1:10" x14ac:dyDescent="0.35">
      <c r="A537" t="s">
        <v>54</v>
      </c>
      <c r="B537" t="s">
        <v>92</v>
      </c>
      <c r="C537" t="s">
        <v>106</v>
      </c>
      <c r="D537">
        <v>2018</v>
      </c>
      <c r="E537">
        <v>94</v>
      </c>
      <c r="F537">
        <v>95</v>
      </c>
      <c r="G537" t="s">
        <v>14</v>
      </c>
      <c r="H537" t="s">
        <v>14</v>
      </c>
      <c r="I537" t="s">
        <v>14</v>
      </c>
      <c r="J537" t="s">
        <v>14</v>
      </c>
    </row>
    <row r="538" spans="1:10" x14ac:dyDescent="0.35">
      <c r="A538" t="s">
        <v>54</v>
      </c>
      <c r="B538" t="s">
        <v>92</v>
      </c>
      <c r="C538" t="s">
        <v>106</v>
      </c>
      <c r="D538">
        <v>2019</v>
      </c>
      <c r="E538">
        <v>94</v>
      </c>
      <c r="F538">
        <v>96</v>
      </c>
      <c r="G538" t="s">
        <v>14</v>
      </c>
      <c r="H538" t="s">
        <v>14</v>
      </c>
      <c r="I538" t="s">
        <v>14</v>
      </c>
      <c r="J538" t="s">
        <v>14</v>
      </c>
    </row>
    <row r="539" spans="1:10" x14ac:dyDescent="0.35">
      <c r="A539" t="s">
        <v>54</v>
      </c>
      <c r="B539" t="s">
        <v>92</v>
      </c>
      <c r="C539" t="s">
        <v>106</v>
      </c>
      <c r="D539">
        <v>2020</v>
      </c>
      <c r="E539">
        <v>94</v>
      </c>
      <c r="F539">
        <v>96</v>
      </c>
      <c r="G539" t="s">
        <v>14</v>
      </c>
      <c r="H539" t="s">
        <v>14</v>
      </c>
      <c r="I539" t="s">
        <v>14</v>
      </c>
      <c r="J539" t="s">
        <v>14</v>
      </c>
    </row>
    <row r="540" spans="1:10" x14ac:dyDescent="0.35">
      <c r="A540" t="s">
        <v>10</v>
      </c>
      <c r="B540" t="s">
        <v>18</v>
      </c>
      <c r="C540" t="s">
        <v>27</v>
      </c>
      <c r="D540">
        <v>2018</v>
      </c>
      <c r="E540">
        <v>94.33</v>
      </c>
      <c r="F540">
        <v>93.67</v>
      </c>
      <c r="G540">
        <v>21.67</v>
      </c>
      <c r="H540">
        <v>94.49</v>
      </c>
      <c r="I540">
        <v>61864</v>
      </c>
      <c r="J540">
        <v>4.32</v>
      </c>
    </row>
    <row r="541" spans="1:10" x14ac:dyDescent="0.35">
      <c r="A541" t="s">
        <v>10</v>
      </c>
      <c r="B541" t="s">
        <v>18</v>
      </c>
      <c r="C541" t="s">
        <v>27</v>
      </c>
      <c r="D541">
        <v>2019</v>
      </c>
      <c r="E541">
        <v>94.33</v>
      </c>
      <c r="F541">
        <v>93.67</v>
      </c>
      <c r="G541">
        <v>21.803000000000001</v>
      </c>
      <c r="H541">
        <v>89.01</v>
      </c>
      <c r="I541">
        <v>61864.47</v>
      </c>
      <c r="J541">
        <v>4.67</v>
      </c>
    </row>
    <row r="542" spans="1:10" x14ac:dyDescent="0.35">
      <c r="A542" t="s">
        <v>10</v>
      </c>
      <c r="B542" t="s">
        <v>18</v>
      </c>
      <c r="C542" t="s">
        <v>27</v>
      </c>
      <c r="D542">
        <v>2020</v>
      </c>
      <c r="E542">
        <v>94.33</v>
      </c>
      <c r="F542">
        <v>93.67</v>
      </c>
      <c r="G542">
        <v>21.919</v>
      </c>
      <c r="H542">
        <v>85.35</v>
      </c>
      <c r="I542">
        <v>61860</v>
      </c>
      <c r="J542">
        <v>5.36</v>
      </c>
    </row>
    <row r="543" spans="1:10" x14ac:dyDescent="0.35">
      <c r="A543" t="s">
        <v>28</v>
      </c>
      <c r="B543" t="s">
        <v>29</v>
      </c>
      <c r="C543" t="s">
        <v>31</v>
      </c>
      <c r="D543">
        <v>2016</v>
      </c>
      <c r="E543">
        <v>94.33</v>
      </c>
      <c r="F543">
        <v>81</v>
      </c>
      <c r="G543" t="s">
        <v>14</v>
      </c>
      <c r="H543" t="s">
        <v>14</v>
      </c>
      <c r="I543" t="s">
        <v>14</v>
      </c>
      <c r="J543" t="s">
        <v>14</v>
      </c>
    </row>
    <row r="544" spans="1:10" x14ac:dyDescent="0.35">
      <c r="A544" t="s">
        <v>54</v>
      </c>
      <c r="B544" t="s">
        <v>55</v>
      </c>
      <c r="C544" t="s">
        <v>66</v>
      </c>
      <c r="D544">
        <v>2015</v>
      </c>
      <c r="E544">
        <v>94.33</v>
      </c>
      <c r="F544">
        <v>82.33</v>
      </c>
      <c r="G544">
        <v>10.405832</v>
      </c>
      <c r="H544">
        <v>71.16</v>
      </c>
      <c r="I544">
        <v>48310</v>
      </c>
      <c r="J544">
        <v>7.61</v>
      </c>
    </row>
    <row r="545" spans="1:10" x14ac:dyDescent="0.35">
      <c r="A545" t="s">
        <v>54</v>
      </c>
      <c r="B545" t="s">
        <v>83</v>
      </c>
      <c r="C545" t="s">
        <v>86</v>
      </c>
      <c r="D545">
        <v>2015</v>
      </c>
      <c r="E545">
        <v>94.33</v>
      </c>
      <c r="F545">
        <v>81</v>
      </c>
      <c r="G545">
        <v>6.2310660000000002</v>
      </c>
      <c r="H545">
        <v>23.44</v>
      </c>
      <c r="I545">
        <v>20720</v>
      </c>
      <c r="J545">
        <v>4</v>
      </c>
    </row>
    <row r="546" spans="1:10" x14ac:dyDescent="0.35">
      <c r="A546" t="s">
        <v>54</v>
      </c>
      <c r="B546" t="s">
        <v>83</v>
      </c>
      <c r="C546" t="s">
        <v>88</v>
      </c>
      <c r="D546">
        <v>2018</v>
      </c>
      <c r="E546">
        <v>94.33</v>
      </c>
      <c r="F546">
        <v>81.67</v>
      </c>
      <c r="G546">
        <v>9.7928499999999996</v>
      </c>
      <c r="H546">
        <v>24.07</v>
      </c>
      <c r="I546">
        <v>111890</v>
      </c>
      <c r="J546">
        <v>5.62</v>
      </c>
    </row>
    <row r="547" spans="1:10" x14ac:dyDescent="0.35">
      <c r="A547" t="s">
        <v>54</v>
      </c>
      <c r="B547" t="s">
        <v>92</v>
      </c>
      <c r="C547" t="s">
        <v>97</v>
      </c>
      <c r="D547">
        <v>2019</v>
      </c>
      <c r="E547">
        <v>94.33</v>
      </c>
      <c r="F547">
        <v>90.33</v>
      </c>
      <c r="G547">
        <v>50.187406000000003</v>
      </c>
      <c r="H547">
        <v>323.11</v>
      </c>
      <c r="I547">
        <v>1109500</v>
      </c>
      <c r="J547">
        <v>10.28</v>
      </c>
    </row>
    <row r="548" spans="1:10" x14ac:dyDescent="0.35">
      <c r="A548" t="s">
        <v>107</v>
      </c>
      <c r="B548" t="s">
        <v>115</v>
      </c>
      <c r="C548" t="s">
        <v>117</v>
      </c>
      <c r="D548">
        <v>2018</v>
      </c>
      <c r="E548">
        <v>94.33</v>
      </c>
      <c r="F548">
        <v>96</v>
      </c>
      <c r="G548">
        <v>9.9397710000000004</v>
      </c>
      <c r="H548">
        <v>47.11</v>
      </c>
      <c r="I548">
        <v>82654</v>
      </c>
      <c r="J548">
        <v>4.9400000000000004</v>
      </c>
    </row>
    <row r="549" spans="1:10" x14ac:dyDescent="0.35">
      <c r="A549" t="s">
        <v>10</v>
      </c>
      <c r="B549" t="s">
        <v>11</v>
      </c>
      <c r="C549" t="s">
        <v>12</v>
      </c>
      <c r="D549">
        <v>2015</v>
      </c>
      <c r="E549">
        <v>94.67</v>
      </c>
      <c r="F549">
        <v>98</v>
      </c>
      <c r="G549">
        <v>17.542805999999999</v>
      </c>
      <c r="H549">
        <v>184.39</v>
      </c>
      <c r="I549">
        <v>2699700</v>
      </c>
      <c r="J549">
        <v>4.93</v>
      </c>
    </row>
    <row r="550" spans="1:10" x14ac:dyDescent="0.35">
      <c r="A550" t="s">
        <v>10</v>
      </c>
      <c r="B550" t="s">
        <v>11</v>
      </c>
      <c r="C550" t="s">
        <v>12</v>
      </c>
      <c r="D550">
        <v>2016</v>
      </c>
      <c r="E550">
        <v>94.67</v>
      </c>
      <c r="F550">
        <v>98</v>
      </c>
      <c r="G550">
        <v>17.794055</v>
      </c>
      <c r="H550">
        <v>137.28</v>
      </c>
      <c r="I550">
        <v>2699700</v>
      </c>
      <c r="J550">
        <v>4.96</v>
      </c>
    </row>
    <row r="551" spans="1:10" x14ac:dyDescent="0.35">
      <c r="A551" t="s">
        <v>28</v>
      </c>
      <c r="B551" t="s">
        <v>29</v>
      </c>
      <c r="C551" t="s">
        <v>31</v>
      </c>
      <c r="D551">
        <v>2015</v>
      </c>
      <c r="E551">
        <v>94.67</v>
      </c>
      <c r="F551">
        <v>80.33</v>
      </c>
      <c r="G551" t="s">
        <v>14</v>
      </c>
      <c r="H551" t="s">
        <v>14</v>
      </c>
      <c r="I551" t="s">
        <v>14</v>
      </c>
      <c r="J551" t="s">
        <v>14</v>
      </c>
    </row>
    <row r="552" spans="1:10" x14ac:dyDescent="0.35">
      <c r="A552" t="s">
        <v>54</v>
      </c>
      <c r="B552" t="s">
        <v>55</v>
      </c>
      <c r="C552" t="s">
        <v>63</v>
      </c>
      <c r="D552">
        <v>2015</v>
      </c>
      <c r="E552">
        <v>94.67</v>
      </c>
      <c r="F552">
        <v>88.67</v>
      </c>
      <c r="G552">
        <v>11.339893999999999</v>
      </c>
      <c r="H552">
        <v>87.13</v>
      </c>
      <c r="I552">
        <v>104100</v>
      </c>
      <c r="J552">
        <v>2.4</v>
      </c>
    </row>
    <row r="553" spans="1:10" x14ac:dyDescent="0.35">
      <c r="A553" t="s">
        <v>54</v>
      </c>
      <c r="B553" t="s">
        <v>55</v>
      </c>
      <c r="C553" t="s">
        <v>66</v>
      </c>
      <c r="D553">
        <v>2016</v>
      </c>
      <c r="E553">
        <v>94.67</v>
      </c>
      <c r="F553">
        <v>83</v>
      </c>
      <c r="G553">
        <v>10.527592</v>
      </c>
      <c r="H553">
        <v>75.7</v>
      </c>
      <c r="I553">
        <v>48310</v>
      </c>
      <c r="J553">
        <v>7.28</v>
      </c>
    </row>
    <row r="554" spans="1:10" x14ac:dyDescent="0.35">
      <c r="A554" t="s">
        <v>54</v>
      </c>
      <c r="B554" t="s">
        <v>55</v>
      </c>
      <c r="C554" t="s">
        <v>66</v>
      </c>
      <c r="D554">
        <v>2017</v>
      </c>
      <c r="E554">
        <v>94.67</v>
      </c>
      <c r="F554">
        <v>83.33</v>
      </c>
      <c r="G554">
        <v>10.647244000000001</v>
      </c>
      <c r="H554">
        <v>80</v>
      </c>
      <c r="I554">
        <v>48310</v>
      </c>
      <c r="J554">
        <v>5.83</v>
      </c>
    </row>
    <row r="555" spans="1:10" x14ac:dyDescent="0.35">
      <c r="A555" t="s">
        <v>54</v>
      </c>
      <c r="B555" t="s">
        <v>83</v>
      </c>
      <c r="C555" t="s">
        <v>88</v>
      </c>
      <c r="D555">
        <v>2019</v>
      </c>
      <c r="E555">
        <v>94.67</v>
      </c>
      <c r="F555">
        <v>82.67</v>
      </c>
      <c r="G555">
        <v>9.9588289999999997</v>
      </c>
      <c r="H555">
        <v>25.09</v>
      </c>
      <c r="I555">
        <v>111890</v>
      </c>
      <c r="J555">
        <v>5.55</v>
      </c>
    </row>
    <row r="556" spans="1:10" x14ac:dyDescent="0.35">
      <c r="A556" t="s">
        <v>54</v>
      </c>
      <c r="B556" t="s">
        <v>92</v>
      </c>
      <c r="C556" t="s">
        <v>97</v>
      </c>
      <c r="D556">
        <v>2020</v>
      </c>
      <c r="E556">
        <v>94.67</v>
      </c>
      <c r="F556">
        <v>91.33</v>
      </c>
      <c r="G556">
        <v>50.930661999999998</v>
      </c>
      <c r="H556">
        <v>270.3</v>
      </c>
      <c r="I556">
        <v>1109500</v>
      </c>
      <c r="J556">
        <v>15.98</v>
      </c>
    </row>
    <row r="557" spans="1:10" x14ac:dyDescent="0.35">
      <c r="A557" t="s">
        <v>107</v>
      </c>
      <c r="B557" t="s">
        <v>108</v>
      </c>
      <c r="C557" t="s">
        <v>114</v>
      </c>
      <c r="D557">
        <v>2017</v>
      </c>
      <c r="E557">
        <v>94.67</v>
      </c>
      <c r="F557">
        <v>93</v>
      </c>
      <c r="G557">
        <v>11.811443000000001</v>
      </c>
      <c r="H557">
        <v>42.16</v>
      </c>
      <c r="I557">
        <v>155360</v>
      </c>
      <c r="J557">
        <v>15.33</v>
      </c>
    </row>
    <row r="558" spans="1:10" x14ac:dyDescent="0.35">
      <c r="A558" t="s">
        <v>107</v>
      </c>
      <c r="B558" t="s">
        <v>115</v>
      </c>
      <c r="C558" t="s">
        <v>121</v>
      </c>
      <c r="D558">
        <v>2017</v>
      </c>
      <c r="E558">
        <v>94.67</v>
      </c>
      <c r="F558">
        <v>96</v>
      </c>
      <c r="G558">
        <v>39.621161999999998</v>
      </c>
      <c r="H558">
        <v>187.22</v>
      </c>
      <c r="I558">
        <v>434128</v>
      </c>
      <c r="J558">
        <v>13.02</v>
      </c>
    </row>
    <row r="559" spans="1:10" x14ac:dyDescent="0.35">
      <c r="A559" t="s">
        <v>10</v>
      </c>
      <c r="B559" t="s">
        <v>11</v>
      </c>
      <c r="C559" t="s">
        <v>12</v>
      </c>
      <c r="D559">
        <v>2017</v>
      </c>
      <c r="E559">
        <v>95</v>
      </c>
      <c r="F559">
        <v>98</v>
      </c>
      <c r="G559">
        <v>18.037776000000001</v>
      </c>
      <c r="H559">
        <v>166.81</v>
      </c>
      <c r="I559">
        <v>2699700</v>
      </c>
      <c r="J559">
        <v>4.9000000000000004</v>
      </c>
    </row>
    <row r="560" spans="1:10" x14ac:dyDescent="0.35">
      <c r="A560" t="s">
        <v>10</v>
      </c>
      <c r="B560" t="s">
        <v>11</v>
      </c>
      <c r="C560" t="s">
        <v>12</v>
      </c>
      <c r="D560">
        <v>2018</v>
      </c>
      <c r="E560">
        <v>95</v>
      </c>
      <c r="F560">
        <v>98</v>
      </c>
      <c r="G560">
        <v>18.276451999999999</v>
      </c>
      <c r="H560">
        <v>179.34</v>
      </c>
      <c r="I560">
        <v>2699700</v>
      </c>
      <c r="J560">
        <v>4.8499999999999996</v>
      </c>
    </row>
    <row r="561" spans="1:10" x14ac:dyDescent="0.35">
      <c r="A561" t="s">
        <v>10</v>
      </c>
      <c r="B561" t="s">
        <v>11</v>
      </c>
      <c r="C561" t="s">
        <v>12</v>
      </c>
      <c r="D561">
        <v>2019</v>
      </c>
      <c r="E561">
        <v>95</v>
      </c>
      <c r="F561">
        <v>98</v>
      </c>
      <c r="G561">
        <v>18.513673000000001</v>
      </c>
      <c r="H561">
        <v>181.67</v>
      </c>
      <c r="I561">
        <v>2699700</v>
      </c>
      <c r="J561">
        <v>4.8</v>
      </c>
    </row>
    <row r="562" spans="1:10" x14ac:dyDescent="0.35">
      <c r="A562" t="s">
        <v>10</v>
      </c>
      <c r="B562" t="s">
        <v>11</v>
      </c>
      <c r="C562" t="s">
        <v>12</v>
      </c>
      <c r="D562">
        <v>2020</v>
      </c>
      <c r="E562">
        <v>95</v>
      </c>
      <c r="F562">
        <v>98</v>
      </c>
      <c r="G562">
        <v>18.755666000000002</v>
      </c>
      <c r="H562">
        <v>171.08</v>
      </c>
      <c r="I562">
        <v>2699700</v>
      </c>
      <c r="J562">
        <v>4.8899999999999997</v>
      </c>
    </row>
    <row r="563" spans="1:10" x14ac:dyDescent="0.35">
      <c r="A563" t="s">
        <v>28</v>
      </c>
      <c r="B563" t="s">
        <v>35</v>
      </c>
      <c r="C563" t="s">
        <v>46</v>
      </c>
      <c r="D563">
        <v>2016</v>
      </c>
      <c r="E563">
        <v>95</v>
      </c>
      <c r="F563">
        <v>84.67</v>
      </c>
      <c r="G563" t="s">
        <v>14</v>
      </c>
      <c r="H563" t="s">
        <v>14</v>
      </c>
      <c r="I563" t="s">
        <v>14</v>
      </c>
      <c r="J563" t="s">
        <v>14</v>
      </c>
    </row>
    <row r="564" spans="1:10" x14ac:dyDescent="0.35">
      <c r="A564" t="s">
        <v>54</v>
      </c>
      <c r="B564" t="s">
        <v>55</v>
      </c>
      <c r="C564" t="s">
        <v>63</v>
      </c>
      <c r="D564">
        <v>2016</v>
      </c>
      <c r="E564">
        <v>95</v>
      </c>
      <c r="F564">
        <v>89</v>
      </c>
      <c r="G564">
        <v>11.342012</v>
      </c>
      <c r="H564">
        <v>91.37</v>
      </c>
      <c r="I564">
        <v>104040</v>
      </c>
      <c r="J564">
        <v>2</v>
      </c>
    </row>
    <row r="565" spans="1:10" x14ac:dyDescent="0.35">
      <c r="A565" t="s">
        <v>54</v>
      </c>
      <c r="B565" t="s">
        <v>55</v>
      </c>
      <c r="C565" t="s">
        <v>65</v>
      </c>
      <c r="D565">
        <v>2015</v>
      </c>
      <c r="E565">
        <v>95</v>
      </c>
      <c r="F565">
        <v>80</v>
      </c>
      <c r="G565">
        <v>7.0007E-2</v>
      </c>
      <c r="H565">
        <v>0.54</v>
      </c>
      <c r="I565">
        <v>750</v>
      </c>
      <c r="J565" t="s">
        <v>14</v>
      </c>
    </row>
    <row r="566" spans="1:10" x14ac:dyDescent="0.35">
      <c r="A566" t="s">
        <v>54</v>
      </c>
      <c r="B566" t="s">
        <v>55</v>
      </c>
      <c r="C566" t="s">
        <v>65</v>
      </c>
      <c r="D566">
        <v>2016</v>
      </c>
      <c r="E566">
        <v>95</v>
      </c>
      <c r="F566">
        <v>80</v>
      </c>
      <c r="G566">
        <v>7.0074999999999998E-2</v>
      </c>
      <c r="H566">
        <v>0.57999999999999996</v>
      </c>
      <c r="I566">
        <v>750</v>
      </c>
      <c r="J566" t="s">
        <v>14</v>
      </c>
    </row>
    <row r="567" spans="1:10" x14ac:dyDescent="0.35">
      <c r="A567" t="s">
        <v>54</v>
      </c>
      <c r="B567" t="s">
        <v>55</v>
      </c>
      <c r="C567" t="s">
        <v>65</v>
      </c>
      <c r="D567">
        <v>2017</v>
      </c>
      <c r="E567">
        <v>95</v>
      </c>
      <c r="F567">
        <v>80</v>
      </c>
      <c r="G567">
        <v>7.0402999999999993E-2</v>
      </c>
      <c r="H567">
        <v>0.52</v>
      </c>
      <c r="I567">
        <v>750</v>
      </c>
      <c r="J567" t="s">
        <v>14</v>
      </c>
    </row>
    <row r="568" spans="1:10" x14ac:dyDescent="0.35">
      <c r="A568" t="s">
        <v>54</v>
      </c>
      <c r="B568" t="s">
        <v>55</v>
      </c>
      <c r="C568" t="s">
        <v>66</v>
      </c>
      <c r="D568">
        <v>2018</v>
      </c>
      <c r="E568">
        <v>95</v>
      </c>
      <c r="F568">
        <v>83.67</v>
      </c>
      <c r="G568">
        <v>10.765530999999999</v>
      </c>
      <c r="H568">
        <v>85.56</v>
      </c>
      <c r="I568">
        <v>48310</v>
      </c>
      <c r="J568">
        <v>5.86</v>
      </c>
    </row>
    <row r="569" spans="1:10" x14ac:dyDescent="0.35">
      <c r="A569" t="s">
        <v>54</v>
      </c>
      <c r="B569" t="s">
        <v>55</v>
      </c>
      <c r="C569" t="s">
        <v>66</v>
      </c>
      <c r="D569">
        <v>2019</v>
      </c>
      <c r="E569">
        <v>95</v>
      </c>
      <c r="F569">
        <v>84.33</v>
      </c>
      <c r="G569">
        <v>10.881881999999999</v>
      </c>
      <c r="H569">
        <v>88.94</v>
      </c>
      <c r="I569">
        <v>48310</v>
      </c>
      <c r="J569">
        <v>6.18</v>
      </c>
    </row>
    <row r="570" spans="1:10" x14ac:dyDescent="0.35">
      <c r="A570" t="s">
        <v>54</v>
      </c>
      <c r="B570" t="s">
        <v>55</v>
      </c>
      <c r="C570" t="s">
        <v>66</v>
      </c>
      <c r="D570">
        <v>2020</v>
      </c>
      <c r="E570">
        <v>95</v>
      </c>
      <c r="F570">
        <v>84.33</v>
      </c>
      <c r="G570">
        <v>10.999663999999999</v>
      </c>
      <c r="H570">
        <v>78.84</v>
      </c>
      <c r="I570">
        <v>48310</v>
      </c>
      <c r="J570">
        <v>6.13</v>
      </c>
    </row>
    <row r="571" spans="1:10" x14ac:dyDescent="0.35">
      <c r="A571" t="s">
        <v>54</v>
      </c>
      <c r="B571" t="s">
        <v>55</v>
      </c>
      <c r="C571" t="s">
        <v>78</v>
      </c>
      <c r="D571">
        <v>2015</v>
      </c>
      <c r="E571">
        <v>95</v>
      </c>
      <c r="F571">
        <v>87</v>
      </c>
      <c r="G571" t="s">
        <v>14</v>
      </c>
      <c r="H571" t="s">
        <v>14</v>
      </c>
      <c r="I571" t="s">
        <v>14</v>
      </c>
      <c r="J571" t="s">
        <v>14</v>
      </c>
    </row>
    <row r="572" spans="1:10" x14ac:dyDescent="0.35">
      <c r="A572" t="s">
        <v>54</v>
      </c>
      <c r="B572" t="s">
        <v>55</v>
      </c>
      <c r="C572" t="s">
        <v>78</v>
      </c>
      <c r="D572">
        <v>2016</v>
      </c>
      <c r="E572">
        <v>95</v>
      </c>
      <c r="F572">
        <v>87</v>
      </c>
      <c r="G572" t="s">
        <v>14</v>
      </c>
      <c r="H572" t="s">
        <v>14</v>
      </c>
      <c r="I572" t="s">
        <v>14</v>
      </c>
      <c r="J572" t="s">
        <v>14</v>
      </c>
    </row>
    <row r="573" spans="1:10" x14ac:dyDescent="0.35">
      <c r="A573" t="s">
        <v>54</v>
      </c>
      <c r="B573" t="s">
        <v>55</v>
      </c>
      <c r="C573" t="s">
        <v>78</v>
      </c>
      <c r="D573">
        <v>2017</v>
      </c>
      <c r="E573">
        <v>95</v>
      </c>
      <c r="F573">
        <v>87</v>
      </c>
      <c r="G573" t="s">
        <v>14</v>
      </c>
      <c r="H573" t="s">
        <v>14</v>
      </c>
      <c r="I573" t="s">
        <v>14</v>
      </c>
      <c r="J573" t="s">
        <v>14</v>
      </c>
    </row>
    <row r="574" spans="1:10" x14ac:dyDescent="0.35">
      <c r="A574" t="s">
        <v>54</v>
      </c>
      <c r="B574" t="s">
        <v>55</v>
      </c>
      <c r="C574" t="s">
        <v>78</v>
      </c>
      <c r="D574">
        <v>2018</v>
      </c>
      <c r="E574">
        <v>95</v>
      </c>
      <c r="F574">
        <v>87</v>
      </c>
      <c r="G574" t="s">
        <v>14</v>
      </c>
      <c r="H574" t="s">
        <v>14</v>
      </c>
      <c r="I574" t="s">
        <v>14</v>
      </c>
      <c r="J574" t="s">
        <v>14</v>
      </c>
    </row>
    <row r="575" spans="1:10" x14ac:dyDescent="0.35">
      <c r="A575" t="s">
        <v>54</v>
      </c>
      <c r="B575" t="s">
        <v>55</v>
      </c>
      <c r="C575" t="s">
        <v>79</v>
      </c>
      <c r="D575">
        <v>2015</v>
      </c>
      <c r="E575">
        <v>95</v>
      </c>
      <c r="F575">
        <v>99</v>
      </c>
      <c r="G575">
        <v>3.8824999999999998E-2</v>
      </c>
      <c r="H575">
        <v>1.25</v>
      </c>
      <c r="I575">
        <v>34</v>
      </c>
      <c r="J575" t="s">
        <v>14</v>
      </c>
    </row>
    <row r="576" spans="1:10" x14ac:dyDescent="0.35">
      <c r="A576" t="s">
        <v>54</v>
      </c>
      <c r="B576" t="s">
        <v>55</v>
      </c>
      <c r="C576" t="s">
        <v>79</v>
      </c>
      <c r="D576">
        <v>2016</v>
      </c>
      <c r="E576">
        <v>95</v>
      </c>
      <c r="F576">
        <v>99</v>
      </c>
      <c r="G576">
        <v>3.9968999999999998E-2</v>
      </c>
      <c r="H576">
        <v>1.26</v>
      </c>
      <c r="I576">
        <v>34</v>
      </c>
      <c r="J576" t="s">
        <v>14</v>
      </c>
    </row>
    <row r="577" spans="1:10" x14ac:dyDescent="0.35">
      <c r="A577" t="s">
        <v>54</v>
      </c>
      <c r="B577" t="s">
        <v>55</v>
      </c>
      <c r="C577" t="s">
        <v>79</v>
      </c>
      <c r="D577">
        <v>2017</v>
      </c>
      <c r="E577">
        <v>95</v>
      </c>
      <c r="F577">
        <v>99</v>
      </c>
      <c r="G577">
        <v>4.0573999999999999E-2</v>
      </c>
      <c r="H577">
        <v>1.19</v>
      </c>
      <c r="I577">
        <v>34</v>
      </c>
      <c r="J577" t="s">
        <v>14</v>
      </c>
    </row>
    <row r="578" spans="1:10" x14ac:dyDescent="0.35">
      <c r="A578" t="s">
        <v>54</v>
      </c>
      <c r="B578" t="s">
        <v>92</v>
      </c>
      <c r="C578" t="s">
        <v>104</v>
      </c>
      <c r="D578">
        <v>2015</v>
      </c>
      <c r="E578">
        <v>95</v>
      </c>
      <c r="F578">
        <v>84.67</v>
      </c>
      <c r="G578">
        <v>0.57547499999999996</v>
      </c>
      <c r="H578">
        <v>5.13</v>
      </c>
      <c r="I578">
        <v>156000</v>
      </c>
      <c r="J578">
        <v>7.22</v>
      </c>
    </row>
    <row r="579" spans="1:10" x14ac:dyDescent="0.35">
      <c r="A579" t="s">
        <v>54</v>
      </c>
      <c r="B579" t="s">
        <v>92</v>
      </c>
      <c r="C579" t="s">
        <v>106</v>
      </c>
      <c r="D579">
        <v>2015</v>
      </c>
      <c r="E579">
        <v>95</v>
      </c>
      <c r="F579">
        <v>95</v>
      </c>
      <c r="G579" t="s">
        <v>14</v>
      </c>
      <c r="H579" t="s">
        <v>14</v>
      </c>
      <c r="I579" t="s">
        <v>14</v>
      </c>
      <c r="J579" t="s">
        <v>14</v>
      </c>
    </row>
    <row r="580" spans="1:10" x14ac:dyDescent="0.35">
      <c r="A580" t="s">
        <v>107</v>
      </c>
      <c r="B580" t="s">
        <v>115</v>
      </c>
      <c r="C580" t="s">
        <v>117</v>
      </c>
      <c r="D580">
        <v>2019</v>
      </c>
      <c r="E580">
        <v>95</v>
      </c>
      <c r="F580">
        <v>96</v>
      </c>
      <c r="G580">
        <v>10.024283</v>
      </c>
      <c r="H580">
        <v>48.17</v>
      </c>
      <c r="I580">
        <v>82654</v>
      </c>
      <c r="J580">
        <v>4.8499999999999996</v>
      </c>
    </row>
    <row r="581" spans="1:10" x14ac:dyDescent="0.35">
      <c r="A581" t="s">
        <v>28</v>
      </c>
      <c r="B581" t="s">
        <v>35</v>
      </c>
      <c r="C581" t="s">
        <v>40</v>
      </c>
      <c r="D581">
        <v>2018</v>
      </c>
      <c r="E581">
        <v>95.33</v>
      </c>
      <c r="F581">
        <v>99.67</v>
      </c>
      <c r="G581">
        <v>32.399270999999999</v>
      </c>
      <c r="H581">
        <v>358.79</v>
      </c>
      <c r="I581">
        <v>328550</v>
      </c>
      <c r="J581">
        <v>3.3</v>
      </c>
    </row>
    <row r="582" spans="1:10" x14ac:dyDescent="0.35">
      <c r="A582" t="s">
        <v>28</v>
      </c>
      <c r="B582" t="s">
        <v>35</v>
      </c>
      <c r="C582" t="s">
        <v>40</v>
      </c>
      <c r="D582">
        <v>2019</v>
      </c>
      <c r="E582">
        <v>95.33</v>
      </c>
      <c r="F582">
        <v>100</v>
      </c>
      <c r="G582">
        <v>32.804020000000001</v>
      </c>
      <c r="H582">
        <v>365.18</v>
      </c>
      <c r="I582">
        <v>328550</v>
      </c>
      <c r="J582">
        <v>3.26</v>
      </c>
    </row>
    <row r="583" spans="1:10" x14ac:dyDescent="0.35">
      <c r="A583" t="s">
        <v>28</v>
      </c>
      <c r="B583" t="s">
        <v>35</v>
      </c>
      <c r="C583" t="s">
        <v>40</v>
      </c>
      <c r="D583">
        <v>2020</v>
      </c>
      <c r="E583">
        <v>95.33</v>
      </c>
      <c r="F583">
        <v>100</v>
      </c>
      <c r="G583">
        <v>33.199992999999999</v>
      </c>
      <c r="H583">
        <v>337.34</v>
      </c>
      <c r="I583">
        <v>328550</v>
      </c>
      <c r="J583">
        <v>4.54</v>
      </c>
    </row>
    <row r="584" spans="1:10" x14ac:dyDescent="0.35">
      <c r="A584" t="s">
        <v>54</v>
      </c>
      <c r="B584" t="s">
        <v>55</v>
      </c>
      <c r="C584" t="s">
        <v>63</v>
      </c>
      <c r="D584">
        <v>2017</v>
      </c>
      <c r="E584">
        <v>95.33</v>
      </c>
      <c r="F584">
        <v>89.33</v>
      </c>
      <c r="G584">
        <v>11.336404999999999</v>
      </c>
      <c r="H584">
        <v>96.85</v>
      </c>
      <c r="I584">
        <v>103800</v>
      </c>
      <c r="J584">
        <v>1.7</v>
      </c>
    </row>
    <row r="585" spans="1:10" x14ac:dyDescent="0.35">
      <c r="A585" t="s">
        <v>54</v>
      </c>
      <c r="B585" t="s">
        <v>83</v>
      </c>
      <c r="C585" t="s">
        <v>86</v>
      </c>
      <c r="D585">
        <v>2016</v>
      </c>
      <c r="E585">
        <v>95.33</v>
      </c>
      <c r="F585">
        <v>81</v>
      </c>
      <c r="G585">
        <v>6.2505100000000002</v>
      </c>
      <c r="H585">
        <v>24.19</v>
      </c>
      <c r="I585">
        <v>20720</v>
      </c>
      <c r="J585">
        <v>4.42</v>
      </c>
    </row>
    <row r="586" spans="1:10" x14ac:dyDescent="0.35">
      <c r="A586" t="s">
        <v>54</v>
      </c>
      <c r="B586" t="s">
        <v>83</v>
      </c>
      <c r="C586" t="s">
        <v>88</v>
      </c>
      <c r="D586">
        <v>2020</v>
      </c>
      <c r="E586">
        <v>95.33</v>
      </c>
      <c r="F586">
        <v>83.33</v>
      </c>
      <c r="G586">
        <v>10.121763</v>
      </c>
      <c r="H586">
        <v>23.83</v>
      </c>
      <c r="I586">
        <v>111890</v>
      </c>
      <c r="J586">
        <v>10.68</v>
      </c>
    </row>
    <row r="587" spans="1:10" x14ac:dyDescent="0.35">
      <c r="A587" t="s">
        <v>54</v>
      </c>
      <c r="B587" t="s">
        <v>92</v>
      </c>
      <c r="C587" t="s">
        <v>95</v>
      </c>
      <c r="D587">
        <v>2015</v>
      </c>
      <c r="E587">
        <v>95.33</v>
      </c>
      <c r="F587">
        <v>77.67</v>
      </c>
      <c r="G587">
        <v>205.18820500000001</v>
      </c>
      <c r="H587">
        <v>1802.21</v>
      </c>
      <c r="I587">
        <v>8358140</v>
      </c>
      <c r="J587">
        <v>8.5399999999999991</v>
      </c>
    </row>
    <row r="588" spans="1:10" x14ac:dyDescent="0.35">
      <c r="A588" t="s">
        <v>54</v>
      </c>
      <c r="B588" t="s">
        <v>92</v>
      </c>
      <c r="C588" t="s">
        <v>95</v>
      </c>
      <c r="D588">
        <v>2016</v>
      </c>
      <c r="E588">
        <v>95.33</v>
      </c>
      <c r="F588">
        <v>79</v>
      </c>
      <c r="G588">
        <v>206.859578</v>
      </c>
      <c r="H588">
        <v>1795.7</v>
      </c>
      <c r="I588">
        <v>8358140</v>
      </c>
      <c r="J588">
        <v>11.58</v>
      </c>
    </row>
    <row r="589" spans="1:10" x14ac:dyDescent="0.35">
      <c r="A589" t="s">
        <v>54</v>
      </c>
      <c r="B589" t="s">
        <v>92</v>
      </c>
      <c r="C589" t="s">
        <v>104</v>
      </c>
      <c r="D589">
        <v>2016</v>
      </c>
      <c r="E589">
        <v>95.33</v>
      </c>
      <c r="F589">
        <v>85.33</v>
      </c>
      <c r="G589">
        <v>0.581453</v>
      </c>
      <c r="H589">
        <v>3.32</v>
      </c>
      <c r="I589">
        <v>156000</v>
      </c>
      <c r="J589">
        <v>7.92</v>
      </c>
    </row>
    <row r="590" spans="1:10" x14ac:dyDescent="0.35">
      <c r="A590" t="s">
        <v>107</v>
      </c>
      <c r="B590" t="s">
        <v>115</v>
      </c>
      <c r="C590" t="s">
        <v>120</v>
      </c>
      <c r="D590">
        <v>2015</v>
      </c>
      <c r="E590">
        <v>95.33</v>
      </c>
      <c r="F590">
        <v>85.67</v>
      </c>
      <c r="G590">
        <v>3.725276</v>
      </c>
      <c r="H590">
        <v>14.95</v>
      </c>
      <c r="I590">
        <v>69490</v>
      </c>
      <c r="J590">
        <v>16.510000000000002</v>
      </c>
    </row>
    <row r="591" spans="1:10" x14ac:dyDescent="0.35">
      <c r="A591" t="s">
        <v>10</v>
      </c>
      <c r="B591" t="s">
        <v>18</v>
      </c>
      <c r="C591" t="s">
        <v>23</v>
      </c>
      <c r="D591">
        <v>2015</v>
      </c>
      <c r="E591">
        <v>95.67</v>
      </c>
      <c r="F591">
        <v>86</v>
      </c>
      <c r="G591" t="s">
        <v>14</v>
      </c>
      <c r="H591" t="s">
        <v>14</v>
      </c>
      <c r="I591" t="s">
        <v>14</v>
      </c>
      <c r="J591" t="s">
        <v>14</v>
      </c>
    </row>
    <row r="592" spans="1:10" x14ac:dyDescent="0.35">
      <c r="A592" t="s">
        <v>28</v>
      </c>
      <c r="B592" t="s">
        <v>35</v>
      </c>
      <c r="C592" t="s">
        <v>40</v>
      </c>
      <c r="D592">
        <v>2015</v>
      </c>
      <c r="E592">
        <v>95.67</v>
      </c>
      <c r="F592">
        <v>99.67</v>
      </c>
      <c r="G592">
        <v>31.068833000000001</v>
      </c>
      <c r="H592">
        <v>301.35000000000002</v>
      </c>
      <c r="I592">
        <v>328550</v>
      </c>
      <c r="J592">
        <v>3.1</v>
      </c>
    </row>
    <row r="593" spans="1:10" x14ac:dyDescent="0.35">
      <c r="A593" t="s">
        <v>28</v>
      </c>
      <c r="B593" t="s">
        <v>35</v>
      </c>
      <c r="C593" t="s">
        <v>40</v>
      </c>
      <c r="D593">
        <v>2016</v>
      </c>
      <c r="E593">
        <v>95.67</v>
      </c>
      <c r="F593">
        <v>99.67</v>
      </c>
      <c r="G593">
        <v>31.526418</v>
      </c>
      <c r="H593">
        <v>301.26</v>
      </c>
      <c r="I593">
        <v>328550</v>
      </c>
      <c r="J593">
        <v>3.44</v>
      </c>
    </row>
    <row r="594" spans="1:10" x14ac:dyDescent="0.35">
      <c r="A594" t="s">
        <v>28</v>
      </c>
      <c r="B594" t="s">
        <v>35</v>
      </c>
      <c r="C594" t="s">
        <v>40</v>
      </c>
      <c r="D594">
        <v>2017</v>
      </c>
      <c r="E594">
        <v>95.67</v>
      </c>
      <c r="F594">
        <v>99.67</v>
      </c>
      <c r="G594">
        <v>31.975805999999999</v>
      </c>
      <c r="H594">
        <v>319.11</v>
      </c>
      <c r="I594">
        <v>328550</v>
      </c>
      <c r="J594">
        <v>3.41</v>
      </c>
    </row>
    <row r="595" spans="1:10" x14ac:dyDescent="0.35">
      <c r="A595" t="s">
        <v>28</v>
      </c>
      <c r="B595" t="s">
        <v>35</v>
      </c>
      <c r="C595" t="s">
        <v>46</v>
      </c>
      <c r="D595">
        <v>2017</v>
      </c>
      <c r="E595">
        <v>95.67</v>
      </c>
      <c r="F595">
        <v>85.67</v>
      </c>
      <c r="G595" t="s">
        <v>14</v>
      </c>
      <c r="H595" t="s">
        <v>14</v>
      </c>
      <c r="I595" t="s">
        <v>14</v>
      </c>
      <c r="J595" t="s">
        <v>14</v>
      </c>
    </row>
    <row r="596" spans="1:10" x14ac:dyDescent="0.35">
      <c r="A596" t="s">
        <v>107</v>
      </c>
      <c r="B596" t="s">
        <v>108</v>
      </c>
      <c r="C596" t="s">
        <v>114</v>
      </c>
      <c r="D596">
        <v>2018</v>
      </c>
      <c r="E596">
        <v>95.67</v>
      </c>
      <c r="F596">
        <v>94.33</v>
      </c>
      <c r="G596">
        <v>11.933040999999999</v>
      </c>
      <c r="H596">
        <v>42.69</v>
      </c>
      <c r="I596">
        <v>155360</v>
      </c>
      <c r="J596">
        <v>15.46</v>
      </c>
    </row>
    <row r="597" spans="1:10" x14ac:dyDescent="0.35">
      <c r="A597" t="s">
        <v>107</v>
      </c>
      <c r="B597" t="s">
        <v>115</v>
      </c>
      <c r="C597" t="s">
        <v>117</v>
      </c>
      <c r="D597">
        <v>2020</v>
      </c>
      <c r="E597">
        <v>95.67</v>
      </c>
      <c r="F597">
        <v>96</v>
      </c>
      <c r="G597">
        <v>10.093121</v>
      </c>
      <c r="H597">
        <v>42.69</v>
      </c>
      <c r="I597">
        <v>82646</v>
      </c>
      <c r="J597">
        <v>7.16</v>
      </c>
    </row>
    <row r="598" spans="1:10" x14ac:dyDescent="0.35">
      <c r="A598" t="s">
        <v>107</v>
      </c>
      <c r="B598" t="s">
        <v>115</v>
      </c>
      <c r="C598" t="s">
        <v>121</v>
      </c>
      <c r="D598">
        <v>2018</v>
      </c>
      <c r="E598">
        <v>95.67</v>
      </c>
      <c r="F598">
        <v>97.67</v>
      </c>
      <c r="G598">
        <v>40.590699999999998</v>
      </c>
      <c r="H598">
        <v>227.37</v>
      </c>
      <c r="I598">
        <v>434128</v>
      </c>
      <c r="J598" t="s">
        <v>14</v>
      </c>
    </row>
    <row r="599" spans="1:10" x14ac:dyDescent="0.35">
      <c r="A599" t="s">
        <v>107</v>
      </c>
      <c r="B599" t="s">
        <v>115</v>
      </c>
      <c r="C599" t="s">
        <v>131</v>
      </c>
      <c r="D599">
        <v>2015</v>
      </c>
      <c r="E599">
        <v>95.67</v>
      </c>
      <c r="F599">
        <v>95</v>
      </c>
      <c r="G599" t="s">
        <v>14</v>
      </c>
      <c r="H599" t="s">
        <v>14</v>
      </c>
      <c r="I599" t="s">
        <v>14</v>
      </c>
      <c r="J599" t="s">
        <v>14</v>
      </c>
    </row>
    <row r="600" spans="1:10" x14ac:dyDescent="0.35">
      <c r="A600" t="s">
        <v>10</v>
      </c>
      <c r="B600" t="s">
        <v>18</v>
      </c>
      <c r="C600" t="s">
        <v>23</v>
      </c>
      <c r="D600">
        <v>2016</v>
      </c>
      <c r="E600">
        <v>96</v>
      </c>
      <c r="F600">
        <v>87</v>
      </c>
      <c r="G600" t="s">
        <v>14</v>
      </c>
      <c r="H600" t="s">
        <v>14</v>
      </c>
      <c r="I600" t="s">
        <v>14</v>
      </c>
      <c r="J600" t="s">
        <v>14</v>
      </c>
    </row>
    <row r="601" spans="1:10" x14ac:dyDescent="0.35">
      <c r="A601" t="s">
        <v>54</v>
      </c>
      <c r="B601" t="s">
        <v>55</v>
      </c>
      <c r="C601" t="s">
        <v>62</v>
      </c>
      <c r="D601">
        <v>2015</v>
      </c>
      <c r="E601">
        <v>96</v>
      </c>
      <c r="F601">
        <v>84</v>
      </c>
      <c r="G601">
        <v>6.0911E-2</v>
      </c>
      <c r="H601">
        <v>4.71</v>
      </c>
      <c r="I601">
        <v>240</v>
      </c>
      <c r="J601">
        <v>4.24</v>
      </c>
    </row>
    <row r="602" spans="1:10" x14ac:dyDescent="0.35">
      <c r="A602" t="s">
        <v>54</v>
      </c>
      <c r="B602" t="s">
        <v>55</v>
      </c>
      <c r="C602" t="s">
        <v>62</v>
      </c>
      <c r="D602">
        <v>2016</v>
      </c>
      <c r="E602">
        <v>96</v>
      </c>
      <c r="F602">
        <v>84</v>
      </c>
      <c r="G602">
        <v>6.2254999999999998E-2</v>
      </c>
      <c r="H602">
        <v>4.91</v>
      </c>
      <c r="I602">
        <v>240</v>
      </c>
      <c r="J602" t="s">
        <v>14</v>
      </c>
    </row>
    <row r="603" spans="1:10" x14ac:dyDescent="0.35">
      <c r="A603" t="s">
        <v>54</v>
      </c>
      <c r="B603" t="s">
        <v>55</v>
      </c>
      <c r="C603" t="s">
        <v>63</v>
      </c>
      <c r="D603">
        <v>2018</v>
      </c>
      <c r="E603">
        <v>96</v>
      </c>
      <c r="F603">
        <v>89.67</v>
      </c>
      <c r="G603">
        <v>11.328244</v>
      </c>
      <c r="H603">
        <v>100.05</v>
      </c>
      <c r="I603">
        <v>103800</v>
      </c>
      <c r="J603">
        <v>1.7</v>
      </c>
    </row>
    <row r="604" spans="1:10" x14ac:dyDescent="0.35">
      <c r="A604" t="s">
        <v>54</v>
      </c>
      <c r="B604" t="s">
        <v>55</v>
      </c>
      <c r="C604" t="s">
        <v>67</v>
      </c>
      <c r="D604">
        <v>2015</v>
      </c>
      <c r="E604">
        <v>96</v>
      </c>
      <c r="F604">
        <v>91</v>
      </c>
      <c r="G604">
        <v>0.11898</v>
      </c>
      <c r="H604">
        <v>1</v>
      </c>
      <c r="I604">
        <v>340</v>
      </c>
      <c r="J604">
        <v>22.9</v>
      </c>
    </row>
    <row r="605" spans="1:10" x14ac:dyDescent="0.35">
      <c r="A605" t="s">
        <v>54</v>
      </c>
      <c r="B605" t="s">
        <v>55</v>
      </c>
      <c r="C605" t="s">
        <v>67</v>
      </c>
      <c r="D605">
        <v>2016</v>
      </c>
      <c r="E605">
        <v>96</v>
      </c>
      <c r="F605">
        <v>91</v>
      </c>
      <c r="G605">
        <v>0.119966</v>
      </c>
      <c r="H605">
        <v>1.06</v>
      </c>
      <c r="I605">
        <v>340</v>
      </c>
      <c r="J605" t="s">
        <v>14</v>
      </c>
    </row>
    <row r="606" spans="1:10" x14ac:dyDescent="0.35">
      <c r="A606" t="s">
        <v>54</v>
      </c>
      <c r="B606" t="s">
        <v>55</v>
      </c>
      <c r="C606" t="s">
        <v>67</v>
      </c>
      <c r="D606">
        <v>2017</v>
      </c>
      <c r="E606">
        <v>96</v>
      </c>
      <c r="F606">
        <v>91</v>
      </c>
      <c r="G606">
        <v>0.120921</v>
      </c>
      <c r="H606">
        <v>1.1299999999999999</v>
      </c>
      <c r="I606">
        <v>340</v>
      </c>
      <c r="J606" t="s">
        <v>14</v>
      </c>
    </row>
    <row r="607" spans="1:10" x14ac:dyDescent="0.35">
      <c r="A607" t="s">
        <v>54</v>
      </c>
      <c r="B607" t="s">
        <v>55</v>
      </c>
      <c r="C607" t="s">
        <v>76</v>
      </c>
      <c r="D607">
        <v>2015</v>
      </c>
      <c r="E607">
        <v>96</v>
      </c>
      <c r="F607">
        <v>81.33</v>
      </c>
      <c r="G607" t="s">
        <v>14</v>
      </c>
      <c r="H607" t="s">
        <v>14</v>
      </c>
      <c r="I607" t="s">
        <v>14</v>
      </c>
      <c r="J607" t="s">
        <v>14</v>
      </c>
    </row>
    <row r="608" spans="1:10" x14ac:dyDescent="0.35">
      <c r="A608" t="s">
        <v>54</v>
      </c>
      <c r="B608" t="s">
        <v>83</v>
      </c>
      <c r="C608" t="s">
        <v>86</v>
      </c>
      <c r="D608">
        <v>2017</v>
      </c>
      <c r="E608">
        <v>96</v>
      </c>
      <c r="F608">
        <v>80.67</v>
      </c>
      <c r="G608">
        <v>6.2666539999999999</v>
      </c>
      <c r="H608">
        <v>24.98</v>
      </c>
      <c r="I608">
        <v>20720</v>
      </c>
      <c r="J608">
        <v>4.3899999999999997</v>
      </c>
    </row>
    <row r="609" spans="1:10" x14ac:dyDescent="0.35">
      <c r="A609" t="s">
        <v>54</v>
      </c>
      <c r="B609" t="s">
        <v>92</v>
      </c>
      <c r="C609" t="s">
        <v>101</v>
      </c>
      <c r="D609">
        <v>2015</v>
      </c>
      <c r="E609">
        <v>96</v>
      </c>
      <c r="F609">
        <v>86.33</v>
      </c>
      <c r="G609">
        <v>0.75503100000000001</v>
      </c>
      <c r="H609">
        <v>4.28</v>
      </c>
      <c r="I609">
        <v>196850</v>
      </c>
      <c r="J609" t="s">
        <v>14</v>
      </c>
    </row>
    <row r="610" spans="1:10" x14ac:dyDescent="0.35">
      <c r="A610" t="s">
        <v>107</v>
      </c>
      <c r="B610" t="s">
        <v>108</v>
      </c>
      <c r="C610" t="s">
        <v>114</v>
      </c>
      <c r="D610">
        <v>2019</v>
      </c>
      <c r="E610">
        <v>96</v>
      </c>
      <c r="F610">
        <v>95.67</v>
      </c>
      <c r="G610">
        <v>12.049314000000001</v>
      </c>
      <c r="H610">
        <v>41.91</v>
      </c>
      <c r="I610">
        <v>155360</v>
      </c>
      <c r="J610">
        <v>15.13</v>
      </c>
    </row>
    <row r="611" spans="1:10" x14ac:dyDescent="0.35">
      <c r="A611" t="s">
        <v>107</v>
      </c>
      <c r="B611" t="s">
        <v>115</v>
      </c>
      <c r="C611" t="s">
        <v>120</v>
      </c>
      <c r="D611">
        <v>2016</v>
      </c>
      <c r="E611">
        <v>96</v>
      </c>
      <c r="F611">
        <v>85</v>
      </c>
      <c r="G611">
        <v>3.7275049999999998</v>
      </c>
      <c r="H611">
        <v>15.14</v>
      </c>
      <c r="I611">
        <v>69490</v>
      </c>
      <c r="J611">
        <v>16.600000000000001</v>
      </c>
    </row>
    <row r="612" spans="1:10" x14ac:dyDescent="0.35">
      <c r="A612" t="s">
        <v>107</v>
      </c>
      <c r="B612" t="s">
        <v>115</v>
      </c>
      <c r="C612" t="s">
        <v>129</v>
      </c>
      <c r="D612">
        <v>2015</v>
      </c>
      <c r="E612">
        <v>96</v>
      </c>
      <c r="F612">
        <v>96</v>
      </c>
      <c r="G612" t="s">
        <v>14</v>
      </c>
      <c r="H612" t="s">
        <v>14</v>
      </c>
      <c r="I612" t="s">
        <v>14</v>
      </c>
      <c r="J612" t="s">
        <v>14</v>
      </c>
    </row>
    <row r="613" spans="1:10" x14ac:dyDescent="0.35">
      <c r="A613" t="s">
        <v>107</v>
      </c>
      <c r="B613" t="s">
        <v>115</v>
      </c>
      <c r="C613" t="s">
        <v>131</v>
      </c>
      <c r="D613">
        <v>2016</v>
      </c>
      <c r="E613">
        <v>96</v>
      </c>
      <c r="F613">
        <v>95.67</v>
      </c>
      <c r="G613" t="s">
        <v>14</v>
      </c>
      <c r="H613" t="s">
        <v>14</v>
      </c>
      <c r="I613" t="s">
        <v>14</v>
      </c>
      <c r="J613" t="s">
        <v>14</v>
      </c>
    </row>
    <row r="614" spans="1:10" x14ac:dyDescent="0.35">
      <c r="A614" t="s">
        <v>162</v>
      </c>
      <c r="B614" t="s">
        <v>163</v>
      </c>
      <c r="C614" t="s">
        <v>173</v>
      </c>
      <c r="D614">
        <v>2018</v>
      </c>
      <c r="E614">
        <v>96</v>
      </c>
      <c r="F614">
        <v>100</v>
      </c>
      <c r="G614" t="s">
        <v>14</v>
      </c>
      <c r="H614" t="s">
        <v>14</v>
      </c>
      <c r="I614" t="s">
        <v>14</v>
      </c>
      <c r="J614" t="s">
        <v>14</v>
      </c>
    </row>
    <row r="615" spans="1:10" x14ac:dyDescent="0.35">
      <c r="A615" t="s">
        <v>162</v>
      </c>
      <c r="B615" t="s">
        <v>163</v>
      </c>
      <c r="C615" t="s">
        <v>173</v>
      </c>
      <c r="D615">
        <v>2019</v>
      </c>
      <c r="E615">
        <v>96</v>
      </c>
      <c r="F615">
        <v>100</v>
      </c>
      <c r="G615" t="s">
        <v>14</v>
      </c>
      <c r="H615" t="s">
        <v>14</v>
      </c>
      <c r="I615" t="s">
        <v>14</v>
      </c>
      <c r="J615" t="s">
        <v>14</v>
      </c>
    </row>
    <row r="616" spans="1:10" x14ac:dyDescent="0.35">
      <c r="A616" t="s">
        <v>162</v>
      </c>
      <c r="B616" t="s">
        <v>163</v>
      </c>
      <c r="C616" t="s">
        <v>173</v>
      </c>
      <c r="D616">
        <v>2020</v>
      </c>
      <c r="E616">
        <v>96</v>
      </c>
      <c r="F616">
        <v>100</v>
      </c>
      <c r="G616" t="s">
        <v>14</v>
      </c>
      <c r="H616" t="s">
        <v>14</v>
      </c>
      <c r="I616" t="s">
        <v>14</v>
      </c>
      <c r="J616" t="s">
        <v>14</v>
      </c>
    </row>
    <row r="617" spans="1:10" x14ac:dyDescent="0.35">
      <c r="A617" t="s">
        <v>162</v>
      </c>
      <c r="B617" t="s">
        <v>163</v>
      </c>
      <c r="C617" t="s">
        <v>177</v>
      </c>
      <c r="D617">
        <v>2015</v>
      </c>
      <c r="E617">
        <v>96</v>
      </c>
      <c r="F617">
        <v>100</v>
      </c>
      <c r="G617">
        <v>9.3419000000000002E-2</v>
      </c>
      <c r="H617">
        <v>1.42</v>
      </c>
      <c r="I617">
        <v>460</v>
      </c>
      <c r="J617">
        <v>4.1500000000000004</v>
      </c>
    </row>
    <row r="618" spans="1:10" x14ac:dyDescent="0.35">
      <c r="A618" t="s">
        <v>162</v>
      </c>
      <c r="B618" t="s">
        <v>163</v>
      </c>
      <c r="C618" t="s">
        <v>177</v>
      </c>
      <c r="D618">
        <v>2016</v>
      </c>
      <c r="E618">
        <v>96</v>
      </c>
      <c r="F618">
        <v>100</v>
      </c>
      <c r="G618">
        <v>9.4676999999999997E-2</v>
      </c>
      <c r="H618">
        <v>1.49</v>
      </c>
      <c r="I618">
        <v>460</v>
      </c>
      <c r="J618">
        <v>3.96</v>
      </c>
    </row>
    <row r="619" spans="1:10" x14ac:dyDescent="0.35">
      <c r="A619" t="s">
        <v>162</v>
      </c>
      <c r="B619" t="s">
        <v>163</v>
      </c>
      <c r="C619" t="s">
        <v>177</v>
      </c>
      <c r="D619">
        <v>2017</v>
      </c>
      <c r="E619">
        <v>96</v>
      </c>
      <c r="F619">
        <v>100</v>
      </c>
      <c r="G619">
        <v>9.5842999999999998E-2</v>
      </c>
      <c r="H619">
        <v>1.57</v>
      </c>
      <c r="I619">
        <v>460</v>
      </c>
      <c r="J619">
        <v>3.71</v>
      </c>
    </row>
    <row r="620" spans="1:10" x14ac:dyDescent="0.35">
      <c r="A620" t="s">
        <v>162</v>
      </c>
      <c r="B620" t="s">
        <v>163</v>
      </c>
      <c r="C620" t="s">
        <v>177</v>
      </c>
      <c r="D620">
        <v>2018</v>
      </c>
      <c r="E620">
        <v>96</v>
      </c>
      <c r="F620">
        <v>100</v>
      </c>
      <c r="G620">
        <v>9.6762000000000001E-2</v>
      </c>
      <c r="H620">
        <v>1.64</v>
      </c>
      <c r="I620">
        <v>460</v>
      </c>
      <c r="J620">
        <v>3.53</v>
      </c>
    </row>
    <row r="621" spans="1:10" x14ac:dyDescent="0.35">
      <c r="A621" t="s">
        <v>10</v>
      </c>
      <c r="B621" t="s">
        <v>18</v>
      </c>
      <c r="C621" t="s">
        <v>21</v>
      </c>
      <c r="D621">
        <v>2015</v>
      </c>
      <c r="E621">
        <v>96.33</v>
      </c>
      <c r="F621">
        <v>70.67</v>
      </c>
      <c r="G621">
        <v>0.74327399999999999</v>
      </c>
      <c r="H621">
        <v>2</v>
      </c>
      <c r="I621">
        <v>38117</v>
      </c>
      <c r="J621">
        <v>2.4500000000000002</v>
      </c>
    </row>
    <row r="622" spans="1:10" x14ac:dyDescent="0.35">
      <c r="A622" t="s">
        <v>10</v>
      </c>
      <c r="B622" t="s">
        <v>18</v>
      </c>
      <c r="C622" t="s">
        <v>23</v>
      </c>
      <c r="D622">
        <v>2017</v>
      </c>
      <c r="E622">
        <v>96.33</v>
      </c>
      <c r="F622">
        <v>87.67</v>
      </c>
      <c r="G622" t="s">
        <v>14</v>
      </c>
      <c r="H622" t="s">
        <v>14</v>
      </c>
      <c r="I622" t="s">
        <v>14</v>
      </c>
      <c r="J622" t="s">
        <v>14</v>
      </c>
    </row>
    <row r="623" spans="1:10" x14ac:dyDescent="0.35">
      <c r="A623" t="s">
        <v>10</v>
      </c>
      <c r="B623" t="s">
        <v>18</v>
      </c>
      <c r="C623" t="s">
        <v>23</v>
      </c>
      <c r="D623">
        <v>2018</v>
      </c>
      <c r="E623">
        <v>96.33</v>
      </c>
      <c r="F623">
        <v>88</v>
      </c>
      <c r="G623" t="s">
        <v>14</v>
      </c>
      <c r="H623" t="s">
        <v>14</v>
      </c>
      <c r="I623" t="s">
        <v>14</v>
      </c>
      <c r="J623" t="s">
        <v>14</v>
      </c>
    </row>
    <row r="624" spans="1:10" x14ac:dyDescent="0.35">
      <c r="A624" t="s">
        <v>10</v>
      </c>
      <c r="B624" t="s">
        <v>18</v>
      </c>
      <c r="C624" t="s">
        <v>23</v>
      </c>
      <c r="D624">
        <v>2019</v>
      </c>
      <c r="E624">
        <v>96.33</v>
      </c>
      <c r="F624">
        <v>88.33</v>
      </c>
      <c r="G624" t="s">
        <v>14</v>
      </c>
      <c r="H624" t="s">
        <v>14</v>
      </c>
      <c r="I624" t="s">
        <v>14</v>
      </c>
      <c r="J624" t="s">
        <v>14</v>
      </c>
    </row>
    <row r="625" spans="1:10" x14ac:dyDescent="0.35">
      <c r="A625" t="s">
        <v>28</v>
      </c>
      <c r="B625" t="s">
        <v>35</v>
      </c>
      <c r="C625" t="s">
        <v>46</v>
      </c>
      <c r="D625">
        <v>2018</v>
      </c>
      <c r="E625">
        <v>96.33</v>
      </c>
      <c r="F625">
        <v>87.33</v>
      </c>
      <c r="G625" t="s">
        <v>14</v>
      </c>
      <c r="H625" t="s">
        <v>14</v>
      </c>
      <c r="I625" t="s">
        <v>14</v>
      </c>
      <c r="J625" t="s">
        <v>14</v>
      </c>
    </row>
    <row r="626" spans="1:10" x14ac:dyDescent="0.35">
      <c r="A626" t="s">
        <v>54</v>
      </c>
      <c r="B626" t="s">
        <v>55</v>
      </c>
      <c r="C626" t="s">
        <v>63</v>
      </c>
      <c r="D626">
        <v>2019</v>
      </c>
      <c r="E626">
        <v>96.33</v>
      </c>
      <c r="F626">
        <v>90</v>
      </c>
      <c r="G626">
        <v>11.316697</v>
      </c>
      <c r="H626">
        <v>103.43</v>
      </c>
      <c r="I626">
        <v>103800</v>
      </c>
      <c r="J626" t="s">
        <v>14</v>
      </c>
    </row>
    <row r="627" spans="1:10" x14ac:dyDescent="0.35">
      <c r="A627" t="s">
        <v>54</v>
      </c>
      <c r="B627" t="s">
        <v>55</v>
      </c>
      <c r="C627" t="s">
        <v>63</v>
      </c>
      <c r="D627">
        <v>2020</v>
      </c>
      <c r="E627">
        <v>96.33</v>
      </c>
      <c r="F627">
        <v>90</v>
      </c>
      <c r="G627">
        <v>11.300698000000001</v>
      </c>
      <c r="H627">
        <v>107.35</v>
      </c>
      <c r="I627">
        <v>103800</v>
      </c>
      <c r="J627" t="s">
        <v>14</v>
      </c>
    </row>
    <row r="628" spans="1:10" x14ac:dyDescent="0.35">
      <c r="A628" t="s">
        <v>54</v>
      </c>
      <c r="B628" t="s">
        <v>55</v>
      </c>
      <c r="C628" t="s">
        <v>76</v>
      </c>
      <c r="D628">
        <v>2016</v>
      </c>
      <c r="E628">
        <v>96.33</v>
      </c>
      <c r="F628">
        <v>81.67</v>
      </c>
      <c r="G628" t="s">
        <v>14</v>
      </c>
      <c r="H628" t="s">
        <v>14</v>
      </c>
      <c r="I628" t="s">
        <v>14</v>
      </c>
      <c r="J628" t="s">
        <v>14</v>
      </c>
    </row>
    <row r="629" spans="1:10" x14ac:dyDescent="0.35">
      <c r="A629" t="s">
        <v>54</v>
      </c>
      <c r="B629" t="s">
        <v>55</v>
      </c>
      <c r="C629" t="s">
        <v>76</v>
      </c>
      <c r="D629">
        <v>2017</v>
      </c>
      <c r="E629">
        <v>96.33</v>
      </c>
      <c r="F629">
        <v>82</v>
      </c>
      <c r="G629" t="s">
        <v>14</v>
      </c>
      <c r="H629" t="s">
        <v>14</v>
      </c>
      <c r="I629" t="s">
        <v>14</v>
      </c>
      <c r="J629" t="s">
        <v>14</v>
      </c>
    </row>
    <row r="630" spans="1:10" x14ac:dyDescent="0.35">
      <c r="A630" t="s">
        <v>54</v>
      </c>
      <c r="B630" t="s">
        <v>92</v>
      </c>
      <c r="C630" t="s">
        <v>95</v>
      </c>
      <c r="D630">
        <v>2017</v>
      </c>
      <c r="E630">
        <v>96.33</v>
      </c>
      <c r="F630">
        <v>79.67</v>
      </c>
      <c r="G630">
        <v>208.50496000000001</v>
      </c>
      <c r="H630">
        <v>2063.5100000000002</v>
      </c>
      <c r="I630">
        <v>8358140</v>
      </c>
      <c r="J630">
        <v>12.79</v>
      </c>
    </row>
    <row r="631" spans="1:10" x14ac:dyDescent="0.35">
      <c r="A631" t="s">
        <v>54</v>
      </c>
      <c r="B631" t="s">
        <v>92</v>
      </c>
      <c r="C631" t="s">
        <v>102</v>
      </c>
      <c r="D631">
        <v>2015</v>
      </c>
      <c r="E631">
        <v>96.33</v>
      </c>
      <c r="F631">
        <v>86.67</v>
      </c>
      <c r="G631">
        <v>6.1779500000000001</v>
      </c>
      <c r="H631">
        <v>36.21</v>
      </c>
      <c r="I631">
        <v>397300</v>
      </c>
      <c r="J631">
        <v>4.5599999999999996</v>
      </c>
    </row>
    <row r="632" spans="1:10" x14ac:dyDescent="0.35">
      <c r="A632" t="s">
        <v>54</v>
      </c>
      <c r="B632" t="s">
        <v>92</v>
      </c>
      <c r="C632" t="s">
        <v>104</v>
      </c>
      <c r="D632">
        <v>2017</v>
      </c>
      <c r="E632">
        <v>96.33</v>
      </c>
      <c r="F632">
        <v>86.33</v>
      </c>
      <c r="G632">
        <v>0.58755900000000005</v>
      </c>
      <c r="H632">
        <v>3.59</v>
      </c>
      <c r="I632">
        <v>156000</v>
      </c>
      <c r="J632" t="s">
        <v>14</v>
      </c>
    </row>
    <row r="633" spans="1:10" x14ac:dyDescent="0.35">
      <c r="A633" t="s">
        <v>107</v>
      </c>
      <c r="B633" t="s">
        <v>115</v>
      </c>
      <c r="C633" t="s">
        <v>131</v>
      </c>
      <c r="D633">
        <v>2017</v>
      </c>
      <c r="E633">
        <v>96.33</v>
      </c>
      <c r="F633">
        <v>96.67</v>
      </c>
      <c r="G633" t="s">
        <v>14</v>
      </c>
      <c r="H633" t="s">
        <v>14</v>
      </c>
      <c r="I633" t="s">
        <v>14</v>
      </c>
      <c r="J633" t="s">
        <v>14</v>
      </c>
    </row>
    <row r="634" spans="1:10" x14ac:dyDescent="0.35">
      <c r="A634" t="s">
        <v>107</v>
      </c>
      <c r="B634" t="s">
        <v>115</v>
      </c>
      <c r="C634" t="s">
        <v>131</v>
      </c>
      <c r="D634">
        <v>2018</v>
      </c>
      <c r="E634">
        <v>96.33</v>
      </c>
      <c r="F634">
        <v>97</v>
      </c>
      <c r="G634" t="s">
        <v>14</v>
      </c>
      <c r="H634" t="s">
        <v>14</v>
      </c>
      <c r="I634" t="s">
        <v>14</v>
      </c>
      <c r="J634" t="s">
        <v>14</v>
      </c>
    </row>
    <row r="635" spans="1:10" x14ac:dyDescent="0.35">
      <c r="A635" t="s">
        <v>10</v>
      </c>
      <c r="B635" t="s">
        <v>18</v>
      </c>
      <c r="C635" t="s">
        <v>23</v>
      </c>
      <c r="D635">
        <v>2020</v>
      </c>
      <c r="E635">
        <v>96.67</v>
      </c>
      <c r="F635">
        <v>88.33</v>
      </c>
      <c r="G635" t="s">
        <v>14</v>
      </c>
      <c r="H635" t="s">
        <v>14</v>
      </c>
      <c r="I635" t="s">
        <v>14</v>
      </c>
      <c r="J635" t="s">
        <v>14</v>
      </c>
    </row>
    <row r="636" spans="1:10" x14ac:dyDescent="0.35">
      <c r="A636" t="s">
        <v>28</v>
      </c>
      <c r="B636" t="s">
        <v>35</v>
      </c>
      <c r="C636" t="s">
        <v>46</v>
      </c>
      <c r="D636">
        <v>2019</v>
      </c>
      <c r="E636">
        <v>96.67</v>
      </c>
      <c r="F636">
        <v>89</v>
      </c>
      <c r="G636" t="s">
        <v>14</v>
      </c>
      <c r="H636" t="s">
        <v>14</v>
      </c>
      <c r="I636" t="s">
        <v>14</v>
      </c>
      <c r="J636" t="s">
        <v>14</v>
      </c>
    </row>
    <row r="637" spans="1:10" x14ac:dyDescent="0.35">
      <c r="A637" t="s">
        <v>54</v>
      </c>
      <c r="B637" t="s">
        <v>83</v>
      </c>
      <c r="C637" t="s">
        <v>89</v>
      </c>
      <c r="D637">
        <v>2015</v>
      </c>
      <c r="E637">
        <v>96.67</v>
      </c>
      <c r="F637">
        <v>86.33</v>
      </c>
      <c r="G637">
        <v>120.149897</v>
      </c>
      <c r="H637">
        <v>1171.8699999999999</v>
      </c>
      <c r="I637">
        <v>1943950</v>
      </c>
      <c r="J637">
        <v>4.3099999999999996</v>
      </c>
    </row>
    <row r="638" spans="1:10" x14ac:dyDescent="0.35">
      <c r="A638" t="s">
        <v>54</v>
      </c>
      <c r="B638" t="s">
        <v>92</v>
      </c>
      <c r="C638" t="s">
        <v>101</v>
      </c>
      <c r="D638">
        <v>2016</v>
      </c>
      <c r="E638">
        <v>96.67</v>
      </c>
      <c r="F638">
        <v>87.33</v>
      </c>
      <c r="G638">
        <v>0.75908699999999996</v>
      </c>
      <c r="H638">
        <v>4.4800000000000004</v>
      </c>
      <c r="I638">
        <v>196850</v>
      </c>
      <c r="J638" t="s">
        <v>14</v>
      </c>
    </row>
    <row r="639" spans="1:10" x14ac:dyDescent="0.35">
      <c r="A639" t="s">
        <v>54</v>
      </c>
      <c r="B639" t="s">
        <v>92</v>
      </c>
      <c r="C639" t="s">
        <v>101</v>
      </c>
      <c r="D639">
        <v>2017</v>
      </c>
      <c r="E639">
        <v>96.67</v>
      </c>
      <c r="F639">
        <v>87.33</v>
      </c>
      <c r="G639">
        <v>0.76325200000000004</v>
      </c>
      <c r="H639">
        <v>4.75</v>
      </c>
      <c r="I639">
        <v>196850</v>
      </c>
      <c r="J639" t="s">
        <v>14</v>
      </c>
    </row>
    <row r="640" spans="1:10" x14ac:dyDescent="0.35">
      <c r="A640" t="s">
        <v>54</v>
      </c>
      <c r="B640" t="s">
        <v>92</v>
      </c>
      <c r="C640" t="s">
        <v>101</v>
      </c>
      <c r="D640">
        <v>2018</v>
      </c>
      <c r="E640">
        <v>96.67</v>
      </c>
      <c r="F640">
        <v>87.33</v>
      </c>
      <c r="G640">
        <v>0.78551400000000005</v>
      </c>
      <c r="H640">
        <v>4.79</v>
      </c>
      <c r="I640">
        <v>196850</v>
      </c>
      <c r="J640">
        <v>14.02</v>
      </c>
    </row>
    <row r="641" spans="1:10" x14ac:dyDescent="0.35">
      <c r="A641" t="s">
        <v>54</v>
      </c>
      <c r="B641" t="s">
        <v>92</v>
      </c>
      <c r="C641" t="s">
        <v>101</v>
      </c>
      <c r="D641">
        <v>2019</v>
      </c>
      <c r="E641">
        <v>96.67</v>
      </c>
      <c r="F641">
        <v>87.33</v>
      </c>
      <c r="G641">
        <v>0.79875300000000005</v>
      </c>
      <c r="H641">
        <v>5.17</v>
      </c>
      <c r="I641">
        <v>196850</v>
      </c>
      <c r="J641">
        <v>13.52</v>
      </c>
    </row>
    <row r="642" spans="1:10" x14ac:dyDescent="0.35">
      <c r="A642" t="s">
        <v>54</v>
      </c>
      <c r="B642" t="s">
        <v>92</v>
      </c>
      <c r="C642" t="s">
        <v>101</v>
      </c>
      <c r="D642">
        <v>2020</v>
      </c>
      <c r="E642">
        <v>96.67</v>
      </c>
      <c r="F642">
        <v>87.33</v>
      </c>
      <c r="G642">
        <v>0.79720199999999997</v>
      </c>
      <c r="H642">
        <v>5.47</v>
      </c>
      <c r="I642">
        <v>196850</v>
      </c>
      <c r="J642" t="s">
        <v>14</v>
      </c>
    </row>
    <row r="643" spans="1:10" x14ac:dyDescent="0.35">
      <c r="A643" t="s">
        <v>54</v>
      </c>
      <c r="B643" t="s">
        <v>92</v>
      </c>
      <c r="C643" t="s">
        <v>104</v>
      </c>
      <c r="D643">
        <v>2018</v>
      </c>
      <c r="E643">
        <v>96.67</v>
      </c>
      <c r="F643">
        <v>87.33</v>
      </c>
      <c r="G643">
        <v>0.59371499999999999</v>
      </c>
      <c r="H643">
        <v>4</v>
      </c>
      <c r="I643">
        <v>156000</v>
      </c>
      <c r="J643" t="s">
        <v>14</v>
      </c>
    </row>
    <row r="644" spans="1:10" x14ac:dyDescent="0.35">
      <c r="A644" t="s">
        <v>54</v>
      </c>
      <c r="B644" t="s">
        <v>92</v>
      </c>
      <c r="C644" t="s">
        <v>105</v>
      </c>
      <c r="D644">
        <v>2015</v>
      </c>
      <c r="E644">
        <v>96.67</v>
      </c>
      <c r="F644">
        <v>96.33</v>
      </c>
      <c r="G644">
        <v>3.4028179999999999</v>
      </c>
      <c r="H644">
        <v>53.27</v>
      </c>
      <c r="I644">
        <v>175020</v>
      </c>
      <c r="J644">
        <v>7.49</v>
      </c>
    </row>
    <row r="645" spans="1:10" x14ac:dyDescent="0.35">
      <c r="A645" t="s">
        <v>107</v>
      </c>
      <c r="B645" t="s">
        <v>115</v>
      </c>
      <c r="C645" t="s">
        <v>120</v>
      </c>
      <c r="D645">
        <v>2017</v>
      </c>
      <c r="E645">
        <v>96.67</v>
      </c>
      <c r="F645">
        <v>85.33</v>
      </c>
      <c r="G645">
        <v>3.7280039999999999</v>
      </c>
      <c r="H645">
        <v>16.239999999999998</v>
      </c>
      <c r="I645">
        <v>69490</v>
      </c>
      <c r="J645">
        <v>13.94</v>
      </c>
    </row>
    <row r="646" spans="1:10" x14ac:dyDescent="0.35">
      <c r="A646" t="s">
        <v>107</v>
      </c>
      <c r="B646" t="s">
        <v>115</v>
      </c>
      <c r="C646" t="s">
        <v>120</v>
      </c>
      <c r="D646">
        <v>2018</v>
      </c>
      <c r="E646">
        <v>96.67</v>
      </c>
      <c r="F646">
        <v>85</v>
      </c>
      <c r="G646">
        <v>3.7265489999999999</v>
      </c>
      <c r="H646">
        <v>17.600000000000001</v>
      </c>
      <c r="I646">
        <v>69490</v>
      </c>
      <c r="J646">
        <v>12.67</v>
      </c>
    </row>
    <row r="647" spans="1:10" x14ac:dyDescent="0.35">
      <c r="A647" t="s">
        <v>107</v>
      </c>
      <c r="B647" t="s">
        <v>115</v>
      </c>
      <c r="C647" t="s">
        <v>120</v>
      </c>
      <c r="D647">
        <v>2019</v>
      </c>
      <c r="E647">
        <v>96.67</v>
      </c>
      <c r="F647">
        <v>84.67</v>
      </c>
      <c r="G647">
        <v>3.7201610000000001</v>
      </c>
      <c r="H647">
        <v>17.47</v>
      </c>
      <c r="I647">
        <v>69490</v>
      </c>
      <c r="J647">
        <v>11.57</v>
      </c>
    </row>
    <row r="648" spans="1:10" x14ac:dyDescent="0.35">
      <c r="A648" t="s">
        <v>107</v>
      </c>
      <c r="B648" t="s">
        <v>115</v>
      </c>
      <c r="C648" t="s">
        <v>120</v>
      </c>
      <c r="D648">
        <v>2020</v>
      </c>
      <c r="E648">
        <v>96.67</v>
      </c>
      <c r="F648">
        <v>84.33</v>
      </c>
      <c r="G648">
        <v>3.7227160000000001</v>
      </c>
      <c r="H648">
        <v>15.84</v>
      </c>
      <c r="I648">
        <v>69490</v>
      </c>
      <c r="J648">
        <v>11.73</v>
      </c>
    </row>
    <row r="649" spans="1:10" x14ac:dyDescent="0.35">
      <c r="A649" t="s">
        <v>107</v>
      </c>
      <c r="B649" t="s">
        <v>115</v>
      </c>
      <c r="C649" t="s">
        <v>129</v>
      </c>
      <c r="D649">
        <v>2016</v>
      </c>
      <c r="E649">
        <v>96.67</v>
      </c>
      <c r="F649">
        <v>96.33</v>
      </c>
      <c r="G649" t="s">
        <v>14</v>
      </c>
      <c r="H649" t="s">
        <v>14</v>
      </c>
      <c r="I649" t="s">
        <v>14</v>
      </c>
      <c r="J649" t="s">
        <v>14</v>
      </c>
    </row>
    <row r="650" spans="1:10" x14ac:dyDescent="0.35">
      <c r="A650" t="s">
        <v>107</v>
      </c>
      <c r="B650" t="s">
        <v>115</v>
      </c>
      <c r="C650" t="s">
        <v>131</v>
      </c>
      <c r="D650">
        <v>2019</v>
      </c>
      <c r="E650">
        <v>96.67</v>
      </c>
      <c r="F650">
        <v>98.33</v>
      </c>
      <c r="G650" t="s">
        <v>14</v>
      </c>
      <c r="H650" t="s">
        <v>14</v>
      </c>
      <c r="I650" t="s">
        <v>14</v>
      </c>
      <c r="J650" t="s">
        <v>14</v>
      </c>
    </row>
    <row r="651" spans="1:10" x14ac:dyDescent="0.35">
      <c r="A651" t="s">
        <v>107</v>
      </c>
      <c r="B651" t="s">
        <v>115</v>
      </c>
      <c r="C651" t="s">
        <v>131</v>
      </c>
      <c r="D651">
        <v>2020</v>
      </c>
      <c r="E651">
        <v>96.67</v>
      </c>
      <c r="F651">
        <v>98.67</v>
      </c>
      <c r="G651" t="s">
        <v>14</v>
      </c>
      <c r="H651" t="s">
        <v>14</v>
      </c>
      <c r="I651" t="s">
        <v>14</v>
      </c>
      <c r="J651" t="s">
        <v>14</v>
      </c>
    </row>
    <row r="652" spans="1:10" x14ac:dyDescent="0.35">
      <c r="A652" t="s">
        <v>10</v>
      </c>
      <c r="B652" t="s">
        <v>18</v>
      </c>
      <c r="C652" t="s">
        <v>21</v>
      </c>
      <c r="D652">
        <v>2016</v>
      </c>
      <c r="E652">
        <v>97</v>
      </c>
      <c r="F652">
        <v>71.67</v>
      </c>
      <c r="G652">
        <v>0.74976100000000001</v>
      </c>
      <c r="H652">
        <v>2.16</v>
      </c>
      <c r="I652">
        <v>38144</v>
      </c>
      <c r="J652" t="s">
        <v>14</v>
      </c>
    </row>
    <row r="653" spans="1:10" x14ac:dyDescent="0.35">
      <c r="A653" t="s">
        <v>54</v>
      </c>
      <c r="B653" t="s">
        <v>55</v>
      </c>
      <c r="C653" t="s">
        <v>56</v>
      </c>
      <c r="D653">
        <v>2015</v>
      </c>
      <c r="E653">
        <v>97</v>
      </c>
      <c r="F653">
        <v>97</v>
      </c>
      <c r="G653" t="s">
        <v>14</v>
      </c>
      <c r="H653" t="s">
        <v>14</v>
      </c>
      <c r="I653" t="s">
        <v>14</v>
      </c>
      <c r="J653" t="s">
        <v>14</v>
      </c>
    </row>
    <row r="654" spans="1:10" x14ac:dyDescent="0.35">
      <c r="A654" t="s">
        <v>54</v>
      </c>
      <c r="B654" t="s">
        <v>55</v>
      </c>
      <c r="C654" t="s">
        <v>56</v>
      </c>
      <c r="D654">
        <v>2016</v>
      </c>
      <c r="E654">
        <v>97</v>
      </c>
      <c r="F654">
        <v>97</v>
      </c>
      <c r="G654" t="s">
        <v>14</v>
      </c>
      <c r="H654" t="s">
        <v>14</v>
      </c>
      <c r="I654" t="s">
        <v>14</v>
      </c>
      <c r="J654" t="s">
        <v>14</v>
      </c>
    </row>
    <row r="655" spans="1:10" x14ac:dyDescent="0.35">
      <c r="A655" t="s">
        <v>54</v>
      </c>
      <c r="B655" t="s">
        <v>55</v>
      </c>
      <c r="C655" t="s">
        <v>56</v>
      </c>
      <c r="D655">
        <v>2017</v>
      </c>
      <c r="E655">
        <v>97</v>
      </c>
      <c r="F655">
        <v>97</v>
      </c>
      <c r="G655" t="s">
        <v>14</v>
      </c>
      <c r="H655" t="s">
        <v>14</v>
      </c>
      <c r="I655" t="s">
        <v>14</v>
      </c>
      <c r="J655" t="s">
        <v>14</v>
      </c>
    </row>
    <row r="656" spans="1:10" x14ac:dyDescent="0.35">
      <c r="A656" t="s">
        <v>54</v>
      </c>
      <c r="B656" t="s">
        <v>55</v>
      </c>
      <c r="C656" t="s">
        <v>57</v>
      </c>
      <c r="D656">
        <v>2015</v>
      </c>
      <c r="E656">
        <v>97</v>
      </c>
      <c r="F656">
        <v>88</v>
      </c>
      <c r="G656">
        <v>8.9940999999999993E-2</v>
      </c>
      <c r="H656">
        <v>1.34</v>
      </c>
      <c r="I656">
        <v>440</v>
      </c>
      <c r="J656" t="s">
        <v>14</v>
      </c>
    </row>
    <row r="657" spans="1:10" x14ac:dyDescent="0.35">
      <c r="A657" t="s">
        <v>54</v>
      </c>
      <c r="B657" t="s">
        <v>55</v>
      </c>
      <c r="C657" t="s">
        <v>57</v>
      </c>
      <c r="D657">
        <v>2016</v>
      </c>
      <c r="E657">
        <v>97</v>
      </c>
      <c r="F657">
        <v>88</v>
      </c>
      <c r="G657">
        <v>9.0564000000000006E-2</v>
      </c>
      <c r="H657">
        <v>1.44</v>
      </c>
      <c r="I657">
        <v>440</v>
      </c>
      <c r="J657" t="s">
        <v>14</v>
      </c>
    </row>
    <row r="658" spans="1:10" x14ac:dyDescent="0.35">
      <c r="A658" t="s">
        <v>54</v>
      </c>
      <c r="B658" t="s">
        <v>55</v>
      </c>
      <c r="C658" t="s">
        <v>57</v>
      </c>
      <c r="D658">
        <v>2017</v>
      </c>
      <c r="E658">
        <v>97</v>
      </c>
      <c r="F658">
        <v>88</v>
      </c>
      <c r="G658">
        <v>9.1119000000000006E-2</v>
      </c>
      <c r="H658">
        <v>1.47</v>
      </c>
      <c r="I658">
        <v>440</v>
      </c>
      <c r="J658" t="s">
        <v>14</v>
      </c>
    </row>
    <row r="659" spans="1:10" x14ac:dyDescent="0.35">
      <c r="A659" t="s">
        <v>54</v>
      </c>
      <c r="B659" t="s">
        <v>55</v>
      </c>
      <c r="C659" t="s">
        <v>76</v>
      </c>
      <c r="D659">
        <v>2018</v>
      </c>
      <c r="E659">
        <v>97</v>
      </c>
      <c r="F659">
        <v>82</v>
      </c>
      <c r="G659" t="s">
        <v>14</v>
      </c>
      <c r="H659" t="s">
        <v>14</v>
      </c>
      <c r="I659" t="s">
        <v>14</v>
      </c>
      <c r="J659" t="s">
        <v>14</v>
      </c>
    </row>
    <row r="660" spans="1:10" x14ac:dyDescent="0.35">
      <c r="A660" t="s">
        <v>54</v>
      </c>
      <c r="B660" t="s">
        <v>55</v>
      </c>
      <c r="C660" t="s">
        <v>76</v>
      </c>
      <c r="D660">
        <v>2019</v>
      </c>
      <c r="E660">
        <v>97</v>
      </c>
      <c r="F660">
        <v>82</v>
      </c>
      <c r="G660" t="s">
        <v>14</v>
      </c>
      <c r="H660" t="s">
        <v>14</v>
      </c>
      <c r="I660" t="s">
        <v>14</v>
      </c>
      <c r="J660" t="s">
        <v>14</v>
      </c>
    </row>
    <row r="661" spans="1:10" x14ac:dyDescent="0.35">
      <c r="A661" t="s">
        <v>54</v>
      </c>
      <c r="B661" t="s">
        <v>55</v>
      </c>
      <c r="C661" t="s">
        <v>76</v>
      </c>
      <c r="D661">
        <v>2020</v>
      </c>
      <c r="E661">
        <v>97</v>
      </c>
      <c r="F661">
        <v>82</v>
      </c>
      <c r="G661" t="s">
        <v>14</v>
      </c>
      <c r="H661" t="s">
        <v>14</v>
      </c>
      <c r="I661" t="s">
        <v>14</v>
      </c>
      <c r="J661" t="s">
        <v>14</v>
      </c>
    </row>
    <row r="662" spans="1:10" x14ac:dyDescent="0.35">
      <c r="A662" t="s">
        <v>54</v>
      </c>
      <c r="B662" t="s">
        <v>83</v>
      </c>
      <c r="C662" t="s">
        <v>86</v>
      </c>
      <c r="D662">
        <v>2018</v>
      </c>
      <c r="E662">
        <v>97</v>
      </c>
      <c r="F662">
        <v>80.33</v>
      </c>
      <c r="G662">
        <v>6.2763419999999996</v>
      </c>
      <c r="H662">
        <v>26.02</v>
      </c>
      <c r="I662">
        <v>20720</v>
      </c>
      <c r="J662">
        <v>4.01</v>
      </c>
    </row>
    <row r="663" spans="1:10" x14ac:dyDescent="0.35">
      <c r="A663" t="s">
        <v>54</v>
      </c>
      <c r="B663" t="s">
        <v>83</v>
      </c>
      <c r="C663" t="s">
        <v>86</v>
      </c>
      <c r="D663">
        <v>2019</v>
      </c>
      <c r="E663">
        <v>97</v>
      </c>
      <c r="F663">
        <v>80.33</v>
      </c>
      <c r="G663">
        <v>6.2802170000000004</v>
      </c>
      <c r="H663">
        <v>26.88</v>
      </c>
      <c r="I663">
        <v>20720</v>
      </c>
      <c r="J663">
        <v>4.17</v>
      </c>
    </row>
    <row r="664" spans="1:10" x14ac:dyDescent="0.35">
      <c r="A664" t="s">
        <v>54</v>
      </c>
      <c r="B664" t="s">
        <v>83</v>
      </c>
      <c r="C664" t="s">
        <v>86</v>
      </c>
      <c r="D664">
        <v>2020</v>
      </c>
      <c r="E664">
        <v>97</v>
      </c>
      <c r="F664">
        <v>79.67</v>
      </c>
      <c r="G664">
        <v>6.2927309999999999</v>
      </c>
      <c r="H664">
        <v>24.56</v>
      </c>
      <c r="I664">
        <v>20720</v>
      </c>
      <c r="J664">
        <v>5.01</v>
      </c>
    </row>
    <row r="665" spans="1:10" x14ac:dyDescent="0.35">
      <c r="A665" t="s">
        <v>54</v>
      </c>
      <c r="B665" t="s">
        <v>92</v>
      </c>
      <c r="C665" t="s">
        <v>95</v>
      </c>
      <c r="D665">
        <v>2018</v>
      </c>
      <c r="E665">
        <v>97</v>
      </c>
      <c r="F665">
        <v>80.33</v>
      </c>
      <c r="G665">
        <v>210.16659200000001</v>
      </c>
      <c r="H665">
        <v>1916.95</v>
      </c>
      <c r="I665">
        <v>8358140</v>
      </c>
      <c r="J665">
        <v>12.33</v>
      </c>
    </row>
    <row r="666" spans="1:10" x14ac:dyDescent="0.35">
      <c r="A666" t="s">
        <v>107</v>
      </c>
      <c r="B666" t="s">
        <v>108</v>
      </c>
      <c r="C666" t="s">
        <v>111</v>
      </c>
      <c r="D666">
        <v>2015</v>
      </c>
      <c r="E666">
        <v>97</v>
      </c>
      <c r="F666">
        <v>92</v>
      </c>
      <c r="G666">
        <v>6.1922350000000002</v>
      </c>
      <c r="H666">
        <v>48.72</v>
      </c>
      <c r="I666">
        <v>1759540</v>
      </c>
      <c r="J666" t="s">
        <v>14</v>
      </c>
    </row>
    <row r="667" spans="1:10" x14ac:dyDescent="0.35">
      <c r="A667" t="s">
        <v>107</v>
      </c>
      <c r="B667" t="s">
        <v>108</v>
      </c>
      <c r="C667" t="s">
        <v>114</v>
      </c>
      <c r="D667">
        <v>2020</v>
      </c>
      <c r="E667">
        <v>97</v>
      </c>
      <c r="F667">
        <v>97.33</v>
      </c>
      <c r="G667">
        <v>12.161723</v>
      </c>
      <c r="H667">
        <v>42.54</v>
      </c>
      <c r="I667">
        <v>155360</v>
      </c>
      <c r="J667" t="s">
        <v>14</v>
      </c>
    </row>
    <row r="668" spans="1:10" x14ac:dyDescent="0.35">
      <c r="A668" t="s">
        <v>107</v>
      </c>
      <c r="B668" t="s">
        <v>115</v>
      </c>
      <c r="C668" t="s">
        <v>121</v>
      </c>
      <c r="D668">
        <v>2019</v>
      </c>
      <c r="E668">
        <v>97</v>
      </c>
      <c r="F668">
        <v>99.33</v>
      </c>
      <c r="G668">
        <v>41.563519999999997</v>
      </c>
      <c r="H668">
        <v>233.64</v>
      </c>
      <c r="I668">
        <v>434128</v>
      </c>
      <c r="J668" t="s">
        <v>14</v>
      </c>
    </row>
    <row r="669" spans="1:10" x14ac:dyDescent="0.35">
      <c r="A669" t="s">
        <v>107</v>
      </c>
      <c r="B669" t="s">
        <v>115</v>
      </c>
      <c r="C669" t="s">
        <v>129</v>
      </c>
      <c r="D669">
        <v>2017</v>
      </c>
      <c r="E669">
        <v>97</v>
      </c>
      <c r="F669">
        <v>97</v>
      </c>
      <c r="G669" t="s">
        <v>14</v>
      </c>
      <c r="H669" t="s">
        <v>14</v>
      </c>
      <c r="I669" t="s">
        <v>14</v>
      </c>
      <c r="J669" t="s">
        <v>14</v>
      </c>
    </row>
    <row r="670" spans="1:10" x14ac:dyDescent="0.35">
      <c r="A670" t="s">
        <v>107</v>
      </c>
      <c r="B670" t="s">
        <v>115</v>
      </c>
      <c r="C670" t="s">
        <v>129</v>
      </c>
      <c r="D670">
        <v>2018</v>
      </c>
      <c r="E670">
        <v>97</v>
      </c>
      <c r="F670">
        <v>97.67</v>
      </c>
      <c r="G670" t="s">
        <v>14</v>
      </c>
      <c r="H670" t="s">
        <v>14</v>
      </c>
      <c r="I670" t="s">
        <v>14</v>
      </c>
      <c r="J670" t="s">
        <v>14</v>
      </c>
    </row>
    <row r="671" spans="1:10" x14ac:dyDescent="0.35">
      <c r="A671" t="s">
        <v>134</v>
      </c>
      <c r="B671" t="s">
        <v>152</v>
      </c>
      <c r="C671" t="s">
        <v>156</v>
      </c>
      <c r="D671">
        <v>2016</v>
      </c>
      <c r="E671">
        <v>97</v>
      </c>
      <c r="F671">
        <v>97</v>
      </c>
      <c r="G671" t="s">
        <v>14</v>
      </c>
      <c r="H671" t="s">
        <v>14</v>
      </c>
      <c r="I671" t="s">
        <v>14</v>
      </c>
      <c r="J671" t="s">
        <v>14</v>
      </c>
    </row>
    <row r="672" spans="1:10" x14ac:dyDescent="0.35">
      <c r="A672" t="s">
        <v>134</v>
      </c>
      <c r="B672" t="s">
        <v>152</v>
      </c>
      <c r="C672" t="s">
        <v>156</v>
      </c>
      <c r="D672">
        <v>2017</v>
      </c>
      <c r="E672">
        <v>97</v>
      </c>
      <c r="F672">
        <v>96</v>
      </c>
      <c r="G672" t="s">
        <v>14</v>
      </c>
      <c r="H672" t="s">
        <v>14</v>
      </c>
      <c r="I672" t="s">
        <v>14</v>
      </c>
      <c r="J672" t="s">
        <v>14</v>
      </c>
    </row>
    <row r="673" spans="1:10" x14ac:dyDescent="0.35">
      <c r="A673" t="s">
        <v>134</v>
      </c>
      <c r="B673" t="s">
        <v>152</v>
      </c>
      <c r="C673" t="s">
        <v>156</v>
      </c>
      <c r="D673">
        <v>2018</v>
      </c>
      <c r="E673">
        <v>97</v>
      </c>
      <c r="F673">
        <v>96</v>
      </c>
      <c r="G673" t="s">
        <v>14</v>
      </c>
      <c r="H673" t="s">
        <v>14</v>
      </c>
      <c r="I673" t="s">
        <v>14</v>
      </c>
      <c r="J673" t="s">
        <v>14</v>
      </c>
    </row>
    <row r="674" spans="1:10" x14ac:dyDescent="0.35">
      <c r="A674" t="s">
        <v>134</v>
      </c>
      <c r="B674" t="s">
        <v>152</v>
      </c>
      <c r="C674" t="s">
        <v>156</v>
      </c>
      <c r="D674">
        <v>2019</v>
      </c>
      <c r="E674">
        <v>97</v>
      </c>
      <c r="F674">
        <v>96</v>
      </c>
      <c r="G674" t="s">
        <v>14</v>
      </c>
      <c r="H674" t="s">
        <v>14</v>
      </c>
      <c r="I674" t="s">
        <v>14</v>
      </c>
      <c r="J674" t="s">
        <v>14</v>
      </c>
    </row>
    <row r="675" spans="1:10" x14ac:dyDescent="0.35">
      <c r="A675" t="s">
        <v>134</v>
      </c>
      <c r="B675" t="s">
        <v>152</v>
      </c>
      <c r="C675" t="s">
        <v>156</v>
      </c>
      <c r="D675">
        <v>2020</v>
      </c>
      <c r="E675">
        <v>97</v>
      </c>
      <c r="F675">
        <v>96</v>
      </c>
      <c r="G675" t="s">
        <v>14</v>
      </c>
      <c r="H675" t="s">
        <v>14</v>
      </c>
      <c r="I675" t="s">
        <v>14</v>
      </c>
      <c r="J675" t="s">
        <v>14</v>
      </c>
    </row>
    <row r="676" spans="1:10" x14ac:dyDescent="0.35">
      <c r="A676" t="s">
        <v>162</v>
      </c>
      <c r="B676" t="s">
        <v>163</v>
      </c>
      <c r="C676" t="s">
        <v>173</v>
      </c>
      <c r="D676">
        <v>2015</v>
      </c>
      <c r="E676">
        <v>97</v>
      </c>
      <c r="F676">
        <v>89</v>
      </c>
      <c r="G676" t="s">
        <v>14</v>
      </c>
      <c r="H676" t="s">
        <v>14</v>
      </c>
      <c r="I676" t="s">
        <v>14</v>
      </c>
      <c r="J676" t="s">
        <v>14</v>
      </c>
    </row>
    <row r="677" spans="1:10" x14ac:dyDescent="0.35">
      <c r="A677" t="s">
        <v>162</v>
      </c>
      <c r="B677" t="s">
        <v>163</v>
      </c>
      <c r="C677" t="s">
        <v>173</v>
      </c>
      <c r="D677">
        <v>2016</v>
      </c>
      <c r="E677">
        <v>97</v>
      </c>
      <c r="F677">
        <v>93</v>
      </c>
      <c r="G677" t="s">
        <v>14</v>
      </c>
      <c r="H677" t="s">
        <v>14</v>
      </c>
      <c r="I677" t="s">
        <v>14</v>
      </c>
      <c r="J677" t="s">
        <v>14</v>
      </c>
    </row>
    <row r="678" spans="1:10" x14ac:dyDescent="0.35">
      <c r="A678" t="s">
        <v>162</v>
      </c>
      <c r="B678" t="s">
        <v>163</v>
      </c>
      <c r="C678" t="s">
        <v>173</v>
      </c>
      <c r="D678">
        <v>2017</v>
      </c>
      <c r="E678">
        <v>97</v>
      </c>
      <c r="F678">
        <v>97</v>
      </c>
      <c r="G678" t="s">
        <v>14</v>
      </c>
      <c r="H678" t="s">
        <v>14</v>
      </c>
      <c r="I678" t="s">
        <v>14</v>
      </c>
      <c r="J678" t="s">
        <v>14</v>
      </c>
    </row>
    <row r="679" spans="1:10" x14ac:dyDescent="0.35">
      <c r="A679" t="s">
        <v>162</v>
      </c>
      <c r="B679" t="s">
        <v>163</v>
      </c>
      <c r="C679" t="s">
        <v>177</v>
      </c>
      <c r="D679">
        <v>2019</v>
      </c>
      <c r="E679">
        <v>97</v>
      </c>
      <c r="F679">
        <v>100</v>
      </c>
      <c r="G679">
        <v>9.7625000000000003E-2</v>
      </c>
      <c r="H679">
        <v>1.68</v>
      </c>
      <c r="I679">
        <v>460</v>
      </c>
      <c r="J679">
        <v>2.97</v>
      </c>
    </row>
    <row r="680" spans="1:10" x14ac:dyDescent="0.35">
      <c r="A680" t="s">
        <v>10</v>
      </c>
      <c r="B680" t="s">
        <v>18</v>
      </c>
      <c r="C680" t="s">
        <v>20</v>
      </c>
      <c r="D680">
        <v>2015</v>
      </c>
      <c r="E680">
        <v>97.33</v>
      </c>
      <c r="F680">
        <v>47.33</v>
      </c>
      <c r="G680">
        <v>157.83000000000001</v>
      </c>
      <c r="H680">
        <v>195.08</v>
      </c>
      <c r="I680">
        <v>130170</v>
      </c>
      <c r="J680" t="s">
        <v>14</v>
      </c>
    </row>
    <row r="681" spans="1:10" x14ac:dyDescent="0.35">
      <c r="A681" t="s">
        <v>10</v>
      </c>
      <c r="B681" t="s">
        <v>18</v>
      </c>
      <c r="C681" t="s">
        <v>20</v>
      </c>
      <c r="D681">
        <v>2016</v>
      </c>
      <c r="E681">
        <v>97.33</v>
      </c>
      <c r="F681">
        <v>48.67</v>
      </c>
      <c r="G681">
        <v>159.78456800000001</v>
      </c>
      <c r="H681">
        <v>265.24</v>
      </c>
      <c r="I681">
        <v>130170</v>
      </c>
      <c r="J681">
        <v>4.3499999999999996</v>
      </c>
    </row>
    <row r="682" spans="1:10" x14ac:dyDescent="0.35">
      <c r="A682" t="s">
        <v>10</v>
      </c>
      <c r="B682" t="s">
        <v>18</v>
      </c>
      <c r="C682" t="s">
        <v>20</v>
      </c>
      <c r="D682">
        <v>2017</v>
      </c>
      <c r="E682">
        <v>97.33</v>
      </c>
      <c r="F682">
        <v>50</v>
      </c>
      <c r="G682">
        <v>161.79396399999999</v>
      </c>
      <c r="H682">
        <v>293.75</v>
      </c>
      <c r="I682">
        <v>130170</v>
      </c>
      <c r="J682">
        <v>4.37</v>
      </c>
    </row>
    <row r="683" spans="1:10" x14ac:dyDescent="0.35">
      <c r="A683" t="s">
        <v>10</v>
      </c>
      <c r="B683" t="s">
        <v>18</v>
      </c>
      <c r="C683" t="s">
        <v>20</v>
      </c>
      <c r="D683">
        <v>2018</v>
      </c>
      <c r="E683">
        <v>97.33</v>
      </c>
      <c r="F683">
        <v>51.33</v>
      </c>
      <c r="G683">
        <v>163.68395799999999</v>
      </c>
      <c r="H683">
        <v>321.38</v>
      </c>
      <c r="I683">
        <v>130170</v>
      </c>
      <c r="J683" t="s">
        <v>14</v>
      </c>
    </row>
    <row r="684" spans="1:10" x14ac:dyDescent="0.35">
      <c r="A684" t="s">
        <v>10</v>
      </c>
      <c r="B684" t="s">
        <v>18</v>
      </c>
      <c r="C684" t="s">
        <v>21</v>
      </c>
      <c r="D684">
        <v>2017</v>
      </c>
      <c r="E684">
        <v>97.33</v>
      </c>
      <c r="F684">
        <v>73.33</v>
      </c>
      <c r="G684">
        <v>0.75612100000000004</v>
      </c>
      <c r="H684">
        <v>2.4500000000000002</v>
      </c>
      <c r="I684">
        <v>38144</v>
      </c>
      <c r="J684" t="s">
        <v>14</v>
      </c>
    </row>
    <row r="685" spans="1:10" x14ac:dyDescent="0.35">
      <c r="A685" t="s">
        <v>10</v>
      </c>
      <c r="B685" t="s">
        <v>18</v>
      </c>
      <c r="C685" t="s">
        <v>21</v>
      </c>
      <c r="D685">
        <v>2018</v>
      </c>
      <c r="E685">
        <v>97.33</v>
      </c>
      <c r="F685">
        <v>74.33</v>
      </c>
      <c r="G685">
        <v>0.762096</v>
      </c>
      <c r="H685">
        <v>2.4500000000000002</v>
      </c>
      <c r="I685">
        <v>38140</v>
      </c>
      <c r="J685">
        <v>3.35</v>
      </c>
    </row>
    <row r="686" spans="1:10" x14ac:dyDescent="0.35">
      <c r="A686" t="s">
        <v>10</v>
      </c>
      <c r="B686" t="s">
        <v>18</v>
      </c>
      <c r="C686" t="s">
        <v>21</v>
      </c>
      <c r="D686">
        <v>2019</v>
      </c>
      <c r="E686">
        <v>97.33</v>
      </c>
      <c r="F686">
        <v>75</v>
      </c>
      <c r="G686">
        <v>0.767459</v>
      </c>
      <c r="H686">
        <v>2.54</v>
      </c>
      <c r="I686">
        <v>38140</v>
      </c>
      <c r="J686">
        <v>2.72</v>
      </c>
    </row>
    <row r="687" spans="1:10" x14ac:dyDescent="0.35">
      <c r="A687" t="s">
        <v>10</v>
      </c>
      <c r="B687" t="s">
        <v>18</v>
      </c>
      <c r="C687" t="s">
        <v>21</v>
      </c>
      <c r="D687">
        <v>2020</v>
      </c>
      <c r="E687">
        <v>97.33</v>
      </c>
      <c r="F687">
        <v>76.67</v>
      </c>
      <c r="G687">
        <v>0.77250600000000003</v>
      </c>
      <c r="H687">
        <v>2.33</v>
      </c>
      <c r="I687">
        <v>38140</v>
      </c>
      <c r="J687">
        <v>5.03</v>
      </c>
    </row>
    <row r="688" spans="1:10" x14ac:dyDescent="0.35">
      <c r="A688" t="s">
        <v>28</v>
      </c>
      <c r="B688" t="s">
        <v>35</v>
      </c>
      <c r="C688" t="s">
        <v>46</v>
      </c>
      <c r="D688">
        <v>2020</v>
      </c>
      <c r="E688">
        <v>97.33</v>
      </c>
      <c r="F688">
        <v>90</v>
      </c>
      <c r="G688" t="s">
        <v>14</v>
      </c>
      <c r="H688" t="s">
        <v>14</v>
      </c>
      <c r="I688" t="s">
        <v>14</v>
      </c>
      <c r="J688" t="s">
        <v>14</v>
      </c>
    </row>
    <row r="689" spans="1:10" x14ac:dyDescent="0.35">
      <c r="A689" t="s">
        <v>54</v>
      </c>
      <c r="B689" t="s">
        <v>83</v>
      </c>
      <c r="C689" t="s">
        <v>84</v>
      </c>
      <c r="D689">
        <v>2015</v>
      </c>
      <c r="E689">
        <v>97.33</v>
      </c>
      <c r="F689">
        <v>87.33</v>
      </c>
      <c r="G689">
        <v>0.359871</v>
      </c>
      <c r="H689">
        <v>2.21</v>
      </c>
      <c r="I689">
        <v>22810</v>
      </c>
      <c r="J689">
        <v>7.58</v>
      </c>
    </row>
    <row r="690" spans="1:10" x14ac:dyDescent="0.35">
      <c r="A690" t="s">
        <v>54</v>
      </c>
      <c r="B690" t="s">
        <v>83</v>
      </c>
      <c r="C690" t="s">
        <v>89</v>
      </c>
      <c r="D690">
        <v>2016</v>
      </c>
      <c r="E690">
        <v>97.33</v>
      </c>
      <c r="F690">
        <v>87.33</v>
      </c>
      <c r="G690">
        <v>121.519221</v>
      </c>
      <c r="H690">
        <v>1078.49</v>
      </c>
      <c r="I690">
        <v>1943950</v>
      </c>
      <c r="J690">
        <v>3.85</v>
      </c>
    </row>
    <row r="691" spans="1:10" x14ac:dyDescent="0.35">
      <c r="A691" t="s">
        <v>54</v>
      </c>
      <c r="B691" t="s">
        <v>92</v>
      </c>
      <c r="C691" t="s">
        <v>93</v>
      </c>
      <c r="D691">
        <v>2015</v>
      </c>
      <c r="E691">
        <v>97.33</v>
      </c>
      <c r="F691">
        <v>89.67</v>
      </c>
      <c r="G691">
        <v>43.131965999999998</v>
      </c>
      <c r="H691">
        <v>594.75</v>
      </c>
      <c r="I691">
        <v>2736690</v>
      </c>
      <c r="J691" t="s">
        <v>14</v>
      </c>
    </row>
    <row r="692" spans="1:10" x14ac:dyDescent="0.35">
      <c r="A692" t="s">
        <v>54</v>
      </c>
      <c r="B692" t="s">
        <v>92</v>
      </c>
      <c r="C692" t="s">
        <v>93</v>
      </c>
      <c r="D692">
        <v>2016</v>
      </c>
      <c r="E692">
        <v>97.33</v>
      </c>
      <c r="F692">
        <v>89.67</v>
      </c>
      <c r="G692">
        <v>43.590367999999998</v>
      </c>
      <c r="H692">
        <v>557.53</v>
      </c>
      <c r="I692">
        <v>2736690</v>
      </c>
      <c r="J692" t="s">
        <v>14</v>
      </c>
    </row>
    <row r="693" spans="1:10" x14ac:dyDescent="0.35">
      <c r="A693" t="s">
        <v>54</v>
      </c>
      <c r="B693" t="s">
        <v>92</v>
      </c>
      <c r="C693" t="s">
        <v>95</v>
      </c>
      <c r="D693">
        <v>2019</v>
      </c>
      <c r="E693">
        <v>97.33</v>
      </c>
      <c r="F693">
        <v>81.67</v>
      </c>
      <c r="G693">
        <v>211.78287800000001</v>
      </c>
      <c r="H693">
        <v>1873.27</v>
      </c>
      <c r="I693">
        <v>8358140</v>
      </c>
      <c r="J693">
        <v>11.94</v>
      </c>
    </row>
    <row r="694" spans="1:10" x14ac:dyDescent="0.35">
      <c r="A694" t="s">
        <v>54</v>
      </c>
      <c r="B694" t="s">
        <v>92</v>
      </c>
      <c r="C694" t="s">
        <v>104</v>
      </c>
      <c r="D694">
        <v>2019</v>
      </c>
      <c r="E694">
        <v>97.33</v>
      </c>
      <c r="F694">
        <v>87.67</v>
      </c>
      <c r="G694">
        <v>0.60030099999999997</v>
      </c>
      <c r="H694">
        <v>4.0199999999999996</v>
      </c>
      <c r="I694">
        <v>156000</v>
      </c>
      <c r="J694" t="s">
        <v>14</v>
      </c>
    </row>
    <row r="695" spans="1:10" x14ac:dyDescent="0.35">
      <c r="A695" t="s">
        <v>54</v>
      </c>
      <c r="B695" t="s">
        <v>92</v>
      </c>
      <c r="C695" t="s">
        <v>105</v>
      </c>
      <c r="D695">
        <v>2016</v>
      </c>
      <c r="E695">
        <v>97.33</v>
      </c>
      <c r="F695">
        <v>96.33</v>
      </c>
      <c r="G695">
        <v>3.4137659999999999</v>
      </c>
      <c r="H695">
        <v>57.24</v>
      </c>
      <c r="I695">
        <v>175020</v>
      </c>
      <c r="J695">
        <v>7.84</v>
      </c>
    </row>
    <row r="696" spans="1:10" x14ac:dyDescent="0.35">
      <c r="A696" t="s">
        <v>10</v>
      </c>
      <c r="B696" t="s">
        <v>11</v>
      </c>
      <c r="C696" t="s">
        <v>16</v>
      </c>
      <c r="D696">
        <v>2015</v>
      </c>
      <c r="E696">
        <v>97.67</v>
      </c>
      <c r="F696">
        <v>97.33</v>
      </c>
      <c r="G696">
        <v>5.7664309999999999</v>
      </c>
      <c r="H696">
        <v>35.799999999999997</v>
      </c>
      <c r="I696">
        <v>469930</v>
      </c>
      <c r="J696" t="s">
        <v>14</v>
      </c>
    </row>
    <row r="697" spans="1:10" x14ac:dyDescent="0.35">
      <c r="A697" t="s">
        <v>10</v>
      </c>
      <c r="B697" t="s">
        <v>11</v>
      </c>
      <c r="C697" t="s">
        <v>17</v>
      </c>
      <c r="D697">
        <v>2015</v>
      </c>
      <c r="E697">
        <v>97.67</v>
      </c>
      <c r="F697">
        <v>100</v>
      </c>
      <c r="G697">
        <v>31.2989</v>
      </c>
      <c r="H697">
        <v>86.2</v>
      </c>
      <c r="I697">
        <v>440600</v>
      </c>
      <c r="J697">
        <v>5.15</v>
      </c>
    </row>
    <row r="698" spans="1:10" x14ac:dyDescent="0.35">
      <c r="A698" t="s">
        <v>10</v>
      </c>
      <c r="B698" t="s">
        <v>11</v>
      </c>
      <c r="C698" t="s">
        <v>17</v>
      </c>
      <c r="D698">
        <v>2016</v>
      </c>
      <c r="E698">
        <v>97.67</v>
      </c>
      <c r="F698">
        <v>100</v>
      </c>
      <c r="G698">
        <v>31.847899999999999</v>
      </c>
      <c r="H698">
        <v>86.14</v>
      </c>
      <c r="I698">
        <v>440591</v>
      </c>
      <c r="J698">
        <v>5.16</v>
      </c>
    </row>
    <row r="699" spans="1:10" x14ac:dyDescent="0.35">
      <c r="A699" t="s">
        <v>10</v>
      </c>
      <c r="B699" t="s">
        <v>18</v>
      </c>
      <c r="C699" t="s">
        <v>20</v>
      </c>
      <c r="D699">
        <v>2019</v>
      </c>
      <c r="E699">
        <v>97.67</v>
      </c>
      <c r="F699">
        <v>52.67</v>
      </c>
      <c r="G699">
        <v>165.516222</v>
      </c>
      <c r="H699">
        <v>351.24</v>
      </c>
      <c r="I699">
        <v>130170</v>
      </c>
      <c r="J699" t="s">
        <v>14</v>
      </c>
    </row>
    <row r="700" spans="1:10" x14ac:dyDescent="0.35">
      <c r="A700" t="s">
        <v>10</v>
      </c>
      <c r="B700" t="s">
        <v>18</v>
      </c>
      <c r="C700" t="s">
        <v>20</v>
      </c>
      <c r="D700">
        <v>2020</v>
      </c>
      <c r="E700">
        <v>97.67</v>
      </c>
      <c r="F700">
        <v>54</v>
      </c>
      <c r="G700">
        <v>167.420951</v>
      </c>
      <c r="H700">
        <v>373.9</v>
      </c>
      <c r="I700">
        <v>130170</v>
      </c>
      <c r="J700" t="s">
        <v>14</v>
      </c>
    </row>
    <row r="701" spans="1:10" x14ac:dyDescent="0.35">
      <c r="A701" t="s">
        <v>54</v>
      </c>
      <c r="B701" t="s">
        <v>83</v>
      </c>
      <c r="C701" t="s">
        <v>84</v>
      </c>
      <c r="D701">
        <v>2016</v>
      </c>
      <c r="E701">
        <v>97.67</v>
      </c>
      <c r="F701">
        <v>88</v>
      </c>
      <c r="G701">
        <v>0.367313</v>
      </c>
      <c r="H701">
        <v>2.2599999999999998</v>
      </c>
      <c r="I701">
        <v>22810</v>
      </c>
      <c r="J701">
        <v>7</v>
      </c>
    </row>
    <row r="702" spans="1:10" x14ac:dyDescent="0.35">
      <c r="A702" t="s">
        <v>54</v>
      </c>
      <c r="B702" t="s">
        <v>92</v>
      </c>
      <c r="C702" t="s">
        <v>102</v>
      </c>
      <c r="D702">
        <v>2016</v>
      </c>
      <c r="E702">
        <v>97.67</v>
      </c>
      <c r="F702">
        <v>87.67</v>
      </c>
      <c r="G702">
        <v>6.2666149999999998</v>
      </c>
      <c r="H702">
        <v>36.090000000000003</v>
      </c>
      <c r="I702">
        <v>397300</v>
      </c>
      <c r="J702">
        <v>5.25</v>
      </c>
    </row>
    <row r="703" spans="1:10" x14ac:dyDescent="0.35">
      <c r="A703" t="s">
        <v>107</v>
      </c>
      <c r="B703" t="s">
        <v>115</v>
      </c>
      <c r="C703" t="s">
        <v>121</v>
      </c>
      <c r="D703">
        <v>2020</v>
      </c>
      <c r="E703">
        <v>97.67</v>
      </c>
      <c r="F703">
        <v>100</v>
      </c>
      <c r="G703">
        <v>42.556984</v>
      </c>
      <c r="H703">
        <v>184.37</v>
      </c>
      <c r="I703">
        <v>434128</v>
      </c>
      <c r="J703" t="s">
        <v>14</v>
      </c>
    </row>
    <row r="704" spans="1:10" x14ac:dyDescent="0.35">
      <c r="A704" t="s">
        <v>107</v>
      </c>
      <c r="B704" t="s">
        <v>115</v>
      </c>
      <c r="C704" t="s">
        <v>129</v>
      </c>
      <c r="D704">
        <v>2019</v>
      </c>
      <c r="E704">
        <v>97.67</v>
      </c>
      <c r="F704">
        <v>97.67</v>
      </c>
      <c r="G704" t="s">
        <v>14</v>
      </c>
      <c r="H704" t="s">
        <v>14</v>
      </c>
      <c r="I704" t="s">
        <v>14</v>
      </c>
      <c r="J704" t="s">
        <v>14</v>
      </c>
    </row>
    <row r="705" spans="1:10" x14ac:dyDescent="0.35">
      <c r="A705" t="s">
        <v>10</v>
      </c>
      <c r="B705" t="s">
        <v>11</v>
      </c>
      <c r="C705" t="s">
        <v>16</v>
      </c>
      <c r="D705">
        <v>2016</v>
      </c>
      <c r="E705">
        <v>98</v>
      </c>
      <c r="F705">
        <v>98</v>
      </c>
      <c r="G705">
        <v>5.8685609999999997</v>
      </c>
      <c r="H705">
        <v>36.17</v>
      </c>
      <c r="I705">
        <v>469930</v>
      </c>
      <c r="J705" t="s">
        <v>14</v>
      </c>
    </row>
    <row r="706" spans="1:10" x14ac:dyDescent="0.35">
      <c r="A706" t="s">
        <v>10</v>
      </c>
      <c r="B706" t="s">
        <v>11</v>
      </c>
      <c r="C706" t="s">
        <v>17</v>
      </c>
      <c r="D706">
        <v>2017</v>
      </c>
      <c r="E706">
        <v>98</v>
      </c>
      <c r="F706">
        <v>100</v>
      </c>
      <c r="G706">
        <v>32.388599999999997</v>
      </c>
      <c r="H706">
        <v>62.08</v>
      </c>
      <c r="I706">
        <v>440588</v>
      </c>
      <c r="J706">
        <v>5.83</v>
      </c>
    </row>
    <row r="707" spans="1:10" x14ac:dyDescent="0.35">
      <c r="A707" t="s">
        <v>10</v>
      </c>
      <c r="B707" t="s">
        <v>11</v>
      </c>
      <c r="C707" t="s">
        <v>17</v>
      </c>
      <c r="D707">
        <v>2018</v>
      </c>
      <c r="E707">
        <v>98</v>
      </c>
      <c r="F707">
        <v>100</v>
      </c>
      <c r="G707">
        <v>32.956099999999999</v>
      </c>
      <c r="H707">
        <v>52.63</v>
      </c>
      <c r="I707">
        <v>440587</v>
      </c>
      <c r="J707">
        <v>9.35</v>
      </c>
    </row>
    <row r="708" spans="1:10" x14ac:dyDescent="0.35">
      <c r="A708" t="s">
        <v>10</v>
      </c>
      <c r="B708" t="s">
        <v>11</v>
      </c>
      <c r="C708" t="s">
        <v>17</v>
      </c>
      <c r="D708">
        <v>2019</v>
      </c>
      <c r="E708">
        <v>98</v>
      </c>
      <c r="F708">
        <v>100</v>
      </c>
      <c r="G708">
        <v>33.580350000000003</v>
      </c>
      <c r="H708">
        <v>59.91</v>
      </c>
      <c r="I708">
        <v>440555</v>
      </c>
      <c r="J708">
        <v>8.98</v>
      </c>
    </row>
    <row r="709" spans="1:10" x14ac:dyDescent="0.35">
      <c r="A709" t="s">
        <v>10</v>
      </c>
      <c r="B709" t="s">
        <v>11</v>
      </c>
      <c r="C709" t="s">
        <v>17</v>
      </c>
      <c r="D709">
        <v>2020</v>
      </c>
      <c r="E709">
        <v>98</v>
      </c>
      <c r="F709">
        <v>100</v>
      </c>
      <c r="G709">
        <v>34.232050000000001</v>
      </c>
      <c r="H709">
        <v>59.89</v>
      </c>
      <c r="I709">
        <v>440650</v>
      </c>
      <c r="J709">
        <v>5.29</v>
      </c>
    </row>
    <row r="710" spans="1:10" x14ac:dyDescent="0.35">
      <c r="A710" t="s">
        <v>54</v>
      </c>
      <c r="B710" t="s">
        <v>55</v>
      </c>
      <c r="C710" t="s">
        <v>58</v>
      </c>
      <c r="D710">
        <v>2015</v>
      </c>
      <c r="E710">
        <v>98</v>
      </c>
      <c r="F710">
        <v>98</v>
      </c>
      <c r="G710">
        <v>0.104257</v>
      </c>
      <c r="H710">
        <v>2.96</v>
      </c>
      <c r="I710">
        <v>180</v>
      </c>
      <c r="J710" t="s">
        <v>14</v>
      </c>
    </row>
    <row r="711" spans="1:10" x14ac:dyDescent="0.35">
      <c r="A711" t="s">
        <v>54</v>
      </c>
      <c r="B711" t="s">
        <v>55</v>
      </c>
      <c r="C711" t="s">
        <v>58</v>
      </c>
      <c r="D711">
        <v>2016</v>
      </c>
      <c r="E711">
        <v>98</v>
      </c>
      <c r="F711">
        <v>98</v>
      </c>
      <c r="G711">
        <v>0.104874</v>
      </c>
      <c r="H711">
        <v>2.98</v>
      </c>
      <c r="I711">
        <v>180</v>
      </c>
      <c r="J711" t="s">
        <v>14</v>
      </c>
    </row>
    <row r="712" spans="1:10" x14ac:dyDescent="0.35">
      <c r="A712" t="s">
        <v>54</v>
      </c>
      <c r="B712" t="s">
        <v>55</v>
      </c>
      <c r="C712" t="s">
        <v>60</v>
      </c>
      <c r="D712">
        <v>2015</v>
      </c>
      <c r="E712">
        <v>98</v>
      </c>
      <c r="F712">
        <v>96</v>
      </c>
      <c r="G712">
        <v>0.27808300000000002</v>
      </c>
      <c r="H712">
        <v>4.72</v>
      </c>
      <c r="I712">
        <v>430</v>
      </c>
      <c r="J712">
        <v>9.8000000000000007</v>
      </c>
    </row>
    <row r="713" spans="1:10" x14ac:dyDescent="0.35">
      <c r="A713" t="s">
        <v>54</v>
      </c>
      <c r="B713" t="s">
        <v>55</v>
      </c>
      <c r="C713" t="s">
        <v>60</v>
      </c>
      <c r="D713">
        <v>2016</v>
      </c>
      <c r="E713">
        <v>98</v>
      </c>
      <c r="F713">
        <v>97</v>
      </c>
      <c r="G713">
        <v>0.27864899999999998</v>
      </c>
      <c r="H713">
        <v>4.83</v>
      </c>
      <c r="I713">
        <v>430</v>
      </c>
      <c r="J713">
        <v>8.25</v>
      </c>
    </row>
    <row r="714" spans="1:10" x14ac:dyDescent="0.35">
      <c r="A714" t="s">
        <v>54</v>
      </c>
      <c r="B714" t="s">
        <v>55</v>
      </c>
      <c r="C714" t="s">
        <v>60</v>
      </c>
      <c r="D714">
        <v>2017</v>
      </c>
      <c r="E714">
        <v>98</v>
      </c>
      <c r="F714">
        <v>97</v>
      </c>
      <c r="G714">
        <v>0.27918700000000002</v>
      </c>
      <c r="H714">
        <v>4.9800000000000004</v>
      </c>
      <c r="I714">
        <v>430</v>
      </c>
      <c r="J714">
        <v>8.6199999999999992</v>
      </c>
    </row>
    <row r="715" spans="1:10" x14ac:dyDescent="0.35">
      <c r="A715" t="s">
        <v>54</v>
      </c>
      <c r="B715" t="s">
        <v>55</v>
      </c>
      <c r="C715" t="s">
        <v>72</v>
      </c>
      <c r="D715">
        <v>2015</v>
      </c>
      <c r="E715">
        <v>98</v>
      </c>
      <c r="F715">
        <v>87</v>
      </c>
      <c r="G715" t="s">
        <v>14</v>
      </c>
      <c r="H715" t="s">
        <v>14</v>
      </c>
      <c r="I715" t="s">
        <v>14</v>
      </c>
      <c r="J715" t="s">
        <v>14</v>
      </c>
    </row>
    <row r="716" spans="1:10" x14ac:dyDescent="0.35">
      <c r="A716" t="s">
        <v>54</v>
      </c>
      <c r="B716" t="s">
        <v>55</v>
      </c>
      <c r="C716" t="s">
        <v>72</v>
      </c>
      <c r="D716">
        <v>2016</v>
      </c>
      <c r="E716">
        <v>98</v>
      </c>
      <c r="F716">
        <v>88</v>
      </c>
      <c r="G716" t="s">
        <v>14</v>
      </c>
      <c r="H716" t="s">
        <v>14</v>
      </c>
      <c r="I716" t="s">
        <v>14</v>
      </c>
      <c r="J716" t="s">
        <v>14</v>
      </c>
    </row>
    <row r="717" spans="1:10" x14ac:dyDescent="0.35">
      <c r="A717" t="s">
        <v>54</v>
      </c>
      <c r="B717" t="s">
        <v>55</v>
      </c>
      <c r="C717" t="s">
        <v>72</v>
      </c>
      <c r="D717">
        <v>2017</v>
      </c>
      <c r="E717">
        <v>98</v>
      </c>
      <c r="F717">
        <v>88</v>
      </c>
      <c r="G717" t="s">
        <v>14</v>
      </c>
      <c r="H717" t="s">
        <v>14</v>
      </c>
      <c r="I717" t="s">
        <v>14</v>
      </c>
      <c r="J717" t="s">
        <v>14</v>
      </c>
    </row>
    <row r="718" spans="1:10" x14ac:dyDescent="0.35">
      <c r="A718" t="s">
        <v>54</v>
      </c>
      <c r="B718" t="s">
        <v>55</v>
      </c>
      <c r="C718" t="s">
        <v>72</v>
      </c>
      <c r="D718">
        <v>2018</v>
      </c>
      <c r="E718">
        <v>98</v>
      </c>
      <c r="F718">
        <v>88</v>
      </c>
      <c r="G718" t="s">
        <v>14</v>
      </c>
      <c r="H718" t="s">
        <v>14</v>
      </c>
      <c r="I718" t="s">
        <v>14</v>
      </c>
      <c r="J718" t="s">
        <v>14</v>
      </c>
    </row>
    <row r="719" spans="1:10" x14ac:dyDescent="0.35">
      <c r="A719" t="s">
        <v>54</v>
      </c>
      <c r="B719" t="s">
        <v>55</v>
      </c>
      <c r="C719" t="s">
        <v>72</v>
      </c>
      <c r="D719">
        <v>2019</v>
      </c>
      <c r="E719">
        <v>98</v>
      </c>
      <c r="F719">
        <v>89</v>
      </c>
      <c r="G719" t="s">
        <v>14</v>
      </c>
      <c r="H719" t="s">
        <v>14</v>
      </c>
      <c r="I719" t="s">
        <v>14</v>
      </c>
      <c r="J719" t="s">
        <v>14</v>
      </c>
    </row>
    <row r="720" spans="1:10" x14ac:dyDescent="0.35">
      <c r="A720" t="s">
        <v>54</v>
      </c>
      <c r="B720" t="s">
        <v>55</v>
      </c>
      <c r="C720" t="s">
        <v>72</v>
      </c>
      <c r="D720">
        <v>2020</v>
      </c>
      <c r="E720">
        <v>98</v>
      </c>
      <c r="F720">
        <v>89</v>
      </c>
      <c r="G720" t="s">
        <v>14</v>
      </c>
      <c r="H720" t="s">
        <v>14</v>
      </c>
      <c r="I720" t="s">
        <v>14</v>
      </c>
      <c r="J720" t="s">
        <v>14</v>
      </c>
    </row>
    <row r="721" spans="1:10" x14ac:dyDescent="0.35">
      <c r="A721" t="s">
        <v>54</v>
      </c>
      <c r="B721" t="s">
        <v>55</v>
      </c>
      <c r="C721" t="s">
        <v>80</v>
      </c>
      <c r="D721">
        <v>2015</v>
      </c>
      <c r="E721">
        <v>98</v>
      </c>
      <c r="F721">
        <v>94</v>
      </c>
      <c r="G721">
        <v>1.4601770000000001</v>
      </c>
      <c r="H721">
        <v>26.85</v>
      </c>
      <c r="I721">
        <v>5130</v>
      </c>
      <c r="J721">
        <v>2.4300000000000002</v>
      </c>
    </row>
    <row r="722" spans="1:10" x14ac:dyDescent="0.35">
      <c r="A722" t="s">
        <v>54</v>
      </c>
      <c r="B722" t="s">
        <v>83</v>
      </c>
      <c r="C722" t="s">
        <v>84</v>
      </c>
      <c r="D722">
        <v>2017</v>
      </c>
      <c r="E722">
        <v>98</v>
      </c>
      <c r="F722">
        <v>88</v>
      </c>
      <c r="G722">
        <v>0.374693</v>
      </c>
      <c r="H722">
        <v>2.29</v>
      </c>
      <c r="I722">
        <v>22810</v>
      </c>
      <c r="J722">
        <v>6.6</v>
      </c>
    </row>
    <row r="723" spans="1:10" x14ac:dyDescent="0.35">
      <c r="A723" t="s">
        <v>54</v>
      </c>
      <c r="B723" t="s">
        <v>83</v>
      </c>
      <c r="C723" t="s">
        <v>89</v>
      </c>
      <c r="D723">
        <v>2017</v>
      </c>
      <c r="E723">
        <v>98</v>
      </c>
      <c r="F723">
        <v>88</v>
      </c>
      <c r="G723">
        <v>122.839258</v>
      </c>
      <c r="H723">
        <v>1158.9100000000001</v>
      </c>
      <c r="I723">
        <v>1943950</v>
      </c>
      <c r="J723">
        <v>3.42</v>
      </c>
    </row>
    <row r="724" spans="1:10" x14ac:dyDescent="0.35">
      <c r="A724" t="s">
        <v>54</v>
      </c>
      <c r="B724" t="s">
        <v>92</v>
      </c>
      <c r="C724" t="s">
        <v>104</v>
      </c>
      <c r="D724">
        <v>2020</v>
      </c>
      <c r="E724">
        <v>98</v>
      </c>
      <c r="F724">
        <v>88.67</v>
      </c>
      <c r="G724">
        <v>0.60706499999999997</v>
      </c>
      <c r="H724">
        <v>2.91</v>
      </c>
      <c r="I724">
        <v>156000</v>
      </c>
      <c r="J724" t="s">
        <v>14</v>
      </c>
    </row>
    <row r="725" spans="1:10" x14ac:dyDescent="0.35">
      <c r="A725" t="s">
        <v>54</v>
      </c>
      <c r="B725" t="s">
        <v>92</v>
      </c>
      <c r="C725" t="s">
        <v>105</v>
      </c>
      <c r="D725">
        <v>2017</v>
      </c>
      <c r="E725">
        <v>98</v>
      </c>
      <c r="F725">
        <v>96.67</v>
      </c>
      <c r="G725">
        <v>3.4222000000000001</v>
      </c>
      <c r="H725">
        <v>64.23</v>
      </c>
      <c r="I725">
        <v>175020</v>
      </c>
      <c r="J725">
        <v>7.89</v>
      </c>
    </row>
    <row r="726" spans="1:10" x14ac:dyDescent="0.35">
      <c r="A726" t="s">
        <v>54</v>
      </c>
      <c r="B726" t="s">
        <v>92</v>
      </c>
      <c r="C726" t="s">
        <v>105</v>
      </c>
      <c r="D726">
        <v>2018</v>
      </c>
      <c r="E726">
        <v>98</v>
      </c>
      <c r="F726">
        <v>97</v>
      </c>
      <c r="G726">
        <v>3.4270420000000001</v>
      </c>
      <c r="H726">
        <v>64.52</v>
      </c>
      <c r="I726">
        <v>175020</v>
      </c>
      <c r="J726">
        <v>8.34</v>
      </c>
    </row>
    <row r="727" spans="1:10" x14ac:dyDescent="0.35">
      <c r="A727" t="s">
        <v>54</v>
      </c>
      <c r="B727" t="s">
        <v>92</v>
      </c>
      <c r="C727" t="s">
        <v>105</v>
      </c>
      <c r="D727">
        <v>2019</v>
      </c>
      <c r="E727">
        <v>98</v>
      </c>
      <c r="F727">
        <v>98</v>
      </c>
      <c r="G727">
        <v>3.4284089999999998</v>
      </c>
      <c r="H727">
        <v>61.23</v>
      </c>
      <c r="I727">
        <v>175020</v>
      </c>
      <c r="J727">
        <v>8.73</v>
      </c>
    </row>
    <row r="728" spans="1:10" x14ac:dyDescent="0.35">
      <c r="A728" t="s">
        <v>54</v>
      </c>
      <c r="B728" t="s">
        <v>92</v>
      </c>
      <c r="C728" t="s">
        <v>105</v>
      </c>
      <c r="D728">
        <v>2020</v>
      </c>
      <c r="E728">
        <v>98</v>
      </c>
      <c r="F728">
        <v>98.33</v>
      </c>
      <c r="G728">
        <v>3.4290859999999999</v>
      </c>
      <c r="H728">
        <v>53.56</v>
      </c>
      <c r="I728">
        <v>175020</v>
      </c>
      <c r="J728">
        <v>10.33</v>
      </c>
    </row>
    <row r="729" spans="1:10" x14ac:dyDescent="0.35">
      <c r="A729" t="s">
        <v>107</v>
      </c>
      <c r="B729" t="s">
        <v>108</v>
      </c>
      <c r="C729" t="s">
        <v>111</v>
      </c>
      <c r="D729">
        <v>2016</v>
      </c>
      <c r="E729">
        <v>98</v>
      </c>
      <c r="F729">
        <v>92</v>
      </c>
      <c r="G729">
        <v>6.2821959999999999</v>
      </c>
      <c r="H729">
        <v>49.91</v>
      </c>
      <c r="I729">
        <v>1759540</v>
      </c>
      <c r="J729" t="s">
        <v>14</v>
      </c>
    </row>
    <row r="730" spans="1:10" x14ac:dyDescent="0.35">
      <c r="A730" t="s">
        <v>134</v>
      </c>
      <c r="B730" t="s">
        <v>138</v>
      </c>
      <c r="C730" t="s">
        <v>140</v>
      </c>
      <c r="D730">
        <v>2015</v>
      </c>
      <c r="E730">
        <v>98</v>
      </c>
      <c r="F730">
        <v>100</v>
      </c>
      <c r="G730">
        <v>0.26945999999999998</v>
      </c>
      <c r="H730">
        <v>8.74</v>
      </c>
      <c r="I730">
        <v>18280</v>
      </c>
      <c r="J730" t="s">
        <v>14</v>
      </c>
    </row>
    <row r="731" spans="1:10" x14ac:dyDescent="0.35">
      <c r="A731" t="s">
        <v>134</v>
      </c>
      <c r="B731" t="s">
        <v>138</v>
      </c>
      <c r="C731" t="s">
        <v>140</v>
      </c>
      <c r="D731">
        <v>2016</v>
      </c>
      <c r="E731">
        <v>98</v>
      </c>
      <c r="F731">
        <v>100</v>
      </c>
      <c r="G731">
        <v>0.27022000000000002</v>
      </c>
      <c r="H731">
        <v>8.7200000000000006</v>
      </c>
      <c r="I731">
        <v>18280</v>
      </c>
      <c r="J731" t="s">
        <v>14</v>
      </c>
    </row>
    <row r="732" spans="1:10" x14ac:dyDescent="0.35">
      <c r="A732" t="s">
        <v>134</v>
      </c>
      <c r="B732" t="s">
        <v>152</v>
      </c>
      <c r="C732" t="s">
        <v>156</v>
      </c>
      <c r="D732">
        <v>2015</v>
      </c>
      <c r="E732">
        <v>98</v>
      </c>
      <c r="F732">
        <v>97</v>
      </c>
      <c r="G732" t="s">
        <v>14</v>
      </c>
      <c r="H732" t="s">
        <v>14</v>
      </c>
      <c r="I732" t="s">
        <v>14</v>
      </c>
      <c r="J732" t="s">
        <v>14</v>
      </c>
    </row>
    <row r="733" spans="1:10" x14ac:dyDescent="0.35">
      <c r="A733" t="s">
        <v>54</v>
      </c>
      <c r="B733" t="s">
        <v>83</v>
      </c>
      <c r="C733" t="s">
        <v>84</v>
      </c>
      <c r="D733">
        <v>2018</v>
      </c>
      <c r="E733">
        <v>98.33</v>
      </c>
      <c r="F733">
        <v>88.67</v>
      </c>
      <c r="G733">
        <v>0.38206600000000002</v>
      </c>
      <c r="H733">
        <v>2.31</v>
      </c>
      <c r="I733">
        <v>22810</v>
      </c>
      <c r="J733" t="s">
        <v>14</v>
      </c>
    </row>
    <row r="734" spans="1:10" x14ac:dyDescent="0.35">
      <c r="A734" t="s">
        <v>54</v>
      </c>
      <c r="B734" t="s">
        <v>83</v>
      </c>
      <c r="C734" t="s">
        <v>84</v>
      </c>
      <c r="D734">
        <v>2019</v>
      </c>
      <c r="E734">
        <v>98.33</v>
      </c>
      <c r="F734">
        <v>88.67</v>
      </c>
      <c r="G734">
        <v>0.38909500000000002</v>
      </c>
      <c r="H734">
        <v>2.42</v>
      </c>
      <c r="I734">
        <v>22810</v>
      </c>
      <c r="J734">
        <v>9.0500000000000007</v>
      </c>
    </row>
    <row r="735" spans="1:10" x14ac:dyDescent="0.35">
      <c r="A735" t="s">
        <v>54</v>
      </c>
      <c r="B735" t="s">
        <v>83</v>
      </c>
      <c r="C735" t="s">
        <v>84</v>
      </c>
      <c r="D735">
        <v>2020</v>
      </c>
      <c r="E735">
        <v>98.33</v>
      </c>
      <c r="F735">
        <v>88.67</v>
      </c>
      <c r="G735">
        <v>0.39492100000000002</v>
      </c>
      <c r="H735">
        <v>2.08</v>
      </c>
      <c r="I735">
        <v>22810</v>
      </c>
      <c r="J735" t="s">
        <v>14</v>
      </c>
    </row>
    <row r="736" spans="1:10" x14ac:dyDescent="0.35">
      <c r="A736" t="s">
        <v>54</v>
      </c>
      <c r="B736" t="s">
        <v>83</v>
      </c>
      <c r="C736" t="s">
        <v>89</v>
      </c>
      <c r="D736">
        <v>2018</v>
      </c>
      <c r="E736">
        <v>98.33</v>
      </c>
      <c r="F736">
        <v>89</v>
      </c>
      <c r="G736">
        <v>124.01386100000001</v>
      </c>
      <c r="H736">
        <v>1222.4100000000001</v>
      </c>
      <c r="I736">
        <v>1943950</v>
      </c>
      <c r="J736">
        <v>3.27</v>
      </c>
    </row>
    <row r="737" spans="1:10" x14ac:dyDescent="0.35">
      <c r="A737" t="s">
        <v>54</v>
      </c>
      <c r="B737" t="s">
        <v>92</v>
      </c>
      <c r="C737" t="s">
        <v>95</v>
      </c>
      <c r="D737">
        <v>2020</v>
      </c>
      <c r="E737">
        <v>98.33</v>
      </c>
      <c r="F737">
        <v>82.33</v>
      </c>
      <c r="G737">
        <v>213.196304</v>
      </c>
      <c r="H737">
        <v>1448.56</v>
      </c>
      <c r="I737">
        <v>8358140</v>
      </c>
      <c r="J737">
        <v>13.7</v>
      </c>
    </row>
    <row r="738" spans="1:10" x14ac:dyDescent="0.35">
      <c r="A738" t="s">
        <v>107</v>
      </c>
      <c r="B738" t="s">
        <v>115</v>
      </c>
      <c r="C738" t="s">
        <v>123</v>
      </c>
      <c r="D738">
        <v>2015</v>
      </c>
      <c r="E738">
        <v>98.33</v>
      </c>
      <c r="F738">
        <v>97</v>
      </c>
      <c r="G738">
        <v>9.4942460000000004</v>
      </c>
      <c r="H738">
        <v>38.590000000000003</v>
      </c>
      <c r="I738">
        <v>88780</v>
      </c>
      <c r="J738">
        <v>13.08</v>
      </c>
    </row>
    <row r="739" spans="1:10" x14ac:dyDescent="0.35">
      <c r="A739" t="s">
        <v>107</v>
      </c>
      <c r="B739" t="s">
        <v>115</v>
      </c>
      <c r="C739" t="s">
        <v>123</v>
      </c>
      <c r="D739">
        <v>2016</v>
      </c>
      <c r="E739">
        <v>98.33</v>
      </c>
      <c r="F739">
        <v>97</v>
      </c>
      <c r="G739">
        <v>9.9646559999999997</v>
      </c>
      <c r="H739">
        <v>39.89</v>
      </c>
      <c r="I739">
        <v>88780</v>
      </c>
      <c r="J739">
        <v>15.28</v>
      </c>
    </row>
    <row r="740" spans="1:10" x14ac:dyDescent="0.35">
      <c r="A740" t="s">
        <v>107</v>
      </c>
      <c r="B740" t="s">
        <v>115</v>
      </c>
      <c r="C740" t="s">
        <v>123</v>
      </c>
      <c r="D740">
        <v>2017</v>
      </c>
      <c r="E740">
        <v>98.33</v>
      </c>
      <c r="F740">
        <v>96.67</v>
      </c>
      <c r="G740">
        <v>10.215381000000001</v>
      </c>
      <c r="H740">
        <v>41.61</v>
      </c>
      <c r="I740">
        <v>88780</v>
      </c>
      <c r="J740">
        <v>18.12</v>
      </c>
    </row>
    <row r="741" spans="1:10" x14ac:dyDescent="0.35">
      <c r="A741" t="s">
        <v>107</v>
      </c>
      <c r="B741" t="s">
        <v>115</v>
      </c>
      <c r="C741" t="s">
        <v>123</v>
      </c>
      <c r="D741">
        <v>2018</v>
      </c>
      <c r="E741">
        <v>98.33</v>
      </c>
      <c r="F741">
        <v>96.67</v>
      </c>
      <c r="G741">
        <v>10.459865000000001</v>
      </c>
      <c r="H741">
        <v>43.37</v>
      </c>
      <c r="I741">
        <v>88780</v>
      </c>
      <c r="J741">
        <v>18.260000000000002</v>
      </c>
    </row>
    <row r="742" spans="1:10" x14ac:dyDescent="0.35">
      <c r="A742" t="s">
        <v>107</v>
      </c>
      <c r="B742" t="s">
        <v>115</v>
      </c>
      <c r="C742" t="s">
        <v>123</v>
      </c>
      <c r="D742">
        <v>2019</v>
      </c>
      <c r="E742">
        <v>98.33</v>
      </c>
      <c r="F742">
        <v>96.33</v>
      </c>
      <c r="G742">
        <v>10.698683000000001</v>
      </c>
      <c r="H742">
        <v>44.99</v>
      </c>
      <c r="I742">
        <v>88794</v>
      </c>
      <c r="J742">
        <v>16.8</v>
      </c>
    </row>
    <row r="743" spans="1:10" x14ac:dyDescent="0.35">
      <c r="A743" t="s">
        <v>107</v>
      </c>
      <c r="B743" t="s">
        <v>115</v>
      </c>
      <c r="C743" t="s">
        <v>123</v>
      </c>
      <c r="D743">
        <v>2020</v>
      </c>
      <c r="E743">
        <v>98.33</v>
      </c>
      <c r="F743">
        <v>96.33</v>
      </c>
      <c r="G743">
        <v>10.928720999999999</v>
      </c>
      <c r="H743">
        <v>44.18</v>
      </c>
      <c r="I743">
        <v>88794</v>
      </c>
      <c r="J743">
        <v>19.21</v>
      </c>
    </row>
    <row r="744" spans="1:10" x14ac:dyDescent="0.35">
      <c r="A744" t="s">
        <v>107</v>
      </c>
      <c r="B744" t="s">
        <v>115</v>
      </c>
      <c r="C744" t="s">
        <v>129</v>
      </c>
      <c r="D744">
        <v>2020</v>
      </c>
      <c r="E744">
        <v>98.33</v>
      </c>
      <c r="F744">
        <v>98.67</v>
      </c>
      <c r="G744" t="s">
        <v>14</v>
      </c>
      <c r="H744" t="s">
        <v>14</v>
      </c>
      <c r="I744" t="s">
        <v>14</v>
      </c>
      <c r="J744" t="s">
        <v>14</v>
      </c>
    </row>
    <row r="745" spans="1:10" x14ac:dyDescent="0.35">
      <c r="A745" t="s">
        <v>10</v>
      </c>
      <c r="B745" t="s">
        <v>11</v>
      </c>
      <c r="C745" t="s">
        <v>16</v>
      </c>
      <c r="D745">
        <v>2017</v>
      </c>
      <c r="E745">
        <v>98.67</v>
      </c>
      <c r="F745">
        <v>98</v>
      </c>
      <c r="G745">
        <v>5.9683830000000002</v>
      </c>
      <c r="H745">
        <v>37.93</v>
      </c>
      <c r="I745">
        <v>469930</v>
      </c>
      <c r="J745" t="s">
        <v>14</v>
      </c>
    </row>
    <row r="746" spans="1:10" x14ac:dyDescent="0.35">
      <c r="A746" t="s">
        <v>54</v>
      </c>
      <c r="B746" t="s">
        <v>83</v>
      </c>
      <c r="C746" t="s">
        <v>89</v>
      </c>
      <c r="D746">
        <v>2019</v>
      </c>
      <c r="E746">
        <v>98.67</v>
      </c>
      <c r="F746">
        <v>90</v>
      </c>
      <c r="G746">
        <v>125.085311</v>
      </c>
      <c r="H746">
        <v>1269.01</v>
      </c>
      <c r="I746">
        <v>1943950</v>
      </c>
      <c r="J746">
        <v>3.48</v>
      </c>
    </row>
    <row r="747" spans="1:10" x14ac:dyDescent="0.35">
      <c r="A747" t="s">
        <v>134</v>
      </c>
      <c r="B747" t="s">
        <v>152</v>
      </c>
      <c r="C747" t="s">
        <v>159</v>
      </c>
      <c r="D747">
        <v>2015</v>
      </c>
      <c r="E747">
        <v>98.67</v>
      </c>
      <c r="F747">
        <v>94</v>
      </c>
      <c r="G747">
        <v>0.10612199999999999</v>
      </c>
      <c r="H747">
        <v>0.44</v>
      </c>
      <c r="I747">
        <v>720</v>
      </c>
      <c r="J747" t="s">
        <v>14</v>
      </c>
    </row>
    <row r="748" spans="1:10" x14ac:dyDescent="0.35">
      <c r="A748" t="s">
        <v>134</v>
      </c>
      <c r="B748" t="s">
        <v>152</v>
      </c>
      <c r="C748" t="s">
        <v>159</v>
      </c>
      <c r="D748">
        <v>2016</v>
      </c>
      <c r="E748">
        <v>98.67</v>
      </c>
      <c r="F748">
        <v>94</v>
      </c>
      <c r="G748">
        <v>0.105707</v>
      </c>
      <c r="H748">
        <v>0.42</v>
      </c>
      <c r="I748">
        <v>720</v>
      </c>
      <c r="J748" t="s">
        <v>14</v>
      </c>
    </row>
    <row r="749" spans="1:10" x14ac:dyDescent="0.35">
      <c r="A749" t="s">
        <v>134</v>
      </c>
      <c r="B749" t="s">
        <v>152</v>
      </c>
      <c r="C749" t="s">
        <v>159</v>
      </c>
      <c r="D749">
        <v>2017</v>
      </c>
      <c r="E749">
        <v>98.67</v>
      </c>
      <c r="F749">
        <v>93.67</v>
      </c>
      <c r="G749">
        <v>0.10541499999999999</v>
      </c>
      <c r="H749">
        <v>0.46</v>
      </c>
      <c r="I749">
        <v>720</v>
      </c>
      <c r="J749" t="s">
        <v>14</v>
      </c>
    </row>
    <row r="750" spans="1:10" x14ac:dyDescent="0.35">
      <c r="A750" t="s">
        <v>134</v>
      </c>
      <c r="B750" t="s">
        <v>152</v>
      </c>
      <c r="C750" t="s">
        <v>159</v>
      </c>
      <c r="D750">
        <v>2018</v>
      </c>
      <c r="E750">
        <v>98.67</v>
      </c>
      <c r="F750">
        <v>93.67</v>
      </c>
      <c r="G750">
        <v>0.10514999999999999</v>
      </c>
      <c r="H750">
        <v>0.49</v>
      </c>
      <c r="I750">
        <v>720</v>
      </c>
      <c r="J750">
        <v>2.25</v>
      </c>
    </row>
    <row r="751" spans="1:10" x14ac:dyDescent="0.35">
      <c r="A751" t="s">
        <v>134</v>
      </c>
      <c r="B751" t="s">
        <v>152</v>
      </c>
      <c r="C751" t="s">
        <v>159</v>
      </c>
      <c r="D751">
        <v>2019</v>
      </c>
      <c r="E751">
        <v>98.67</v>
      </c>
      <c r="F751">
        <v>93.67</v>
      </c>
      <c r="G751">
        <v>0.104951</v>
      </c>
      <c r="H751">
        <v>0.51</v>
      </c>
      <c r="I751">
        <v>720</v>
      </c>
      <c r="J751" t="s">
        <v>14</v>
      </c>
    </row>
    <row r="752" spans="1:10" x14ac:dyDescent="0.35">
      <c r="A752" t="s">
        <v>10</v>
      </c>
      <c r="B752" t="s">
        <v>18</v>
      </c>
      <c r="C752" t="s">
        <v>24</v>
      </c>
      <c r="D752">
        <v>2015</v>
      </c>
      <c r="E752">
        <v>99</v>
      </c>
      <c r="F752">
        <v>94.67</v>
      </c>
      <c r="G752">
        <v>0.43558200000000002</v>
      </c>
      <c r="H752">
        <v>4.1100000000000003</v>
      </c>
      <c r="I752">
        <v>300</v>
      </c>
      <c r="J752" t="s">
        <v>14</v>
      </c>
    </row>
    <row r="753" spans="1:10" x14ac:dyDescent="0.35">
      <c r="A753" t="s">
        <v>10</v>
      </c>
      <c r="B753" t="s">
        <v>18</v>
      </c>
      <c r="C753" t="s">
        <v>24</v>
      </c>
      <c r="D753">
        <v>2016</v>
      </c>
      <c r="E753">
        <v>99</v>
      </c>
      <c r="F753">
        <v>95.33</v>
      </c>
      <c r="G753">
        <v>0.45425199999999999</v>
      </c>
      <c r="H753">
        <v>4.38</v>
      </c>
      <c r="I753">
        <v>300</v>
      </c>
      <c r="J753">
        <v>5.77</v>
      </c>
    </row>
    <row r="754" spans="1:10" x14ac:dyDescent="0.35">
      <c r="A754" t="s">
        <v>28</v>
      </c>
      <c r="B754" t="s">
        <v>29</v>
      </c>
      <c r="C754" t="s">
        <v>32</v>
      </c>
      <c r="D754">
        <v>2015</v>
      </c>
      <c r="E754">
        <v>99</v>
      </c>
      <c r="F754">
        <v>100</v>
      </c>
      <c r="G754">
        <v>127.14100000000001</v>
      </c>
      <c r="H754">
        <v>4444.93</v>
      </c>
      <c r="I754">
        <v>364500</v>
      </c>
      <c r="J754">
        <v>3.39</v>
      </c>
    </row>
    <row r="755" spans="1:10" x14ac:dyDescent="0.35">
      <c r="A755" t="s">
        <v>28</v>
      </c>
      <c r="B755" t="s">
        <v>29</v>
      </c>
      <c r="C755" t="s">
        <v>32</v>
      </c>
      <c r="D755">
        <v>2016</v>
      </c>
      <c r="E755">
        <v>99</v>
      </c>
      <c r="F755">
        <v>100</v>
      </c>
      <c r="G755">
        <v>127.07599999999999</v>
      </c>
      <c r="H755">
        <v>5003.68</v>
      </c>
      <c r="I755">
        <v>364500</v>
      </c>
      <c r="J755">
        <v>3.13</v>
      </c>
    </row>
    <row r="756" spans="1:10" x14ac:dyDescent="0.35">
      <c r="A756" t="s">
        <v>28</v>
      </c>
      <c r="B756" t="s">
        <v>29</v>
      </c>
      <c r="C756" t="s">
        <v>32</v>
      </c>
      <c r="D756">
        <v>2017</v>
      </c>
      <c r="E756">
        <v>99</v>
      </c>
      <c r="F756">
        <v>100</v>
      </c>
      <c r="G756">
        <v>126.97199999999999</v>
      </c>
      <c r="H756">
        <v>4930.84</v>
      </c>
      <c r="I756">
        <v>364500</v>
      </c>
      <c r="J756">
        <v>2.82</v>
      </c>
    </row>
    <row r="757" spans="1:10" x14ac:dyDescent="0.35">
      <c r="A757" t="s">
        <v>28</v>
      </c>
      <c r="B757" t="s">
        <v>29</v>
      </c>
      <c r="C757" t="s">
        <v>32</v>
      </c>
      <c r="D757">
        <v>2018</v>
      </c>
      <c r="E757">
        <v>99</v>
      </c>
      <c r="F757">
        <v>100</v>
      </c>
      <c r="G757">
        <v>126.81100000000001</v>
      </c>
      <c r="H757">
        <v>5037.84</v>
      </c>
      <c r="I757">
        <v>364500</v>
      </c>
      <c r="J757">
        <v>2.4700000000000002</v>
      </c>
    </row>
    <row r="758" spans="1:10" x14ac:dyDescent="0.35">
      <c r="A758" t="s">
        <v>28</v>
      </c>
      <c r="B758" t="s">
        <v>29</v>
      </c>
      <c r="C758" t="s">
        <v>32</v>
      </c>
      <c r="D758">
        <v>2019</v>
      </c>
      <c r="E758">
        <v>99</v>
      </c>
      <c r="F758">
        <v>100</v>
      </c>
      <c r="G758">
        <v>126.633</v>
      </c>
      <c r="H758">
        <v>5123.32</v>
      </c>
      <c r="I758">
        <v>364500</v>
      </c>
      <c r="J758">
        <v>2.35</v>
      </c>
    </row>
    <row r="759" spans="1:10" x14ac:dyDescent="0.35">
      <c r="A759" t="s">
        <v>28</v>
      </c>
      <c r="B759" t="s">
        <v>29</v>
      </c>
      <c r="C759" t="s">
        <v>32</v>
      </c>
      <c r="D759">
        <v>2020</v>
      </c>
      <c r="E759">
        <v>99</v>
      </c>
      <c r="F759">
        <v>100</v>
      </c>
      <c r="G759">
        <v>126.261</v>
      </c>
      <c r="H759">
        <v>5040.1099999999997</v>
      </c>
      <c r="I759">
        <v>364500</v>
      </c>
      <c r="J759">
        <v>2.81</v>
      </c>
    </row>
    <row r="760" spans="1:10" x14ac:dyDescent="0.35">
      <c r="A760" t="s">
        <v>28</v>
      </c>
      <c r="B760" t="s">
        <v>29</v>
      </c>
      <c r="C760" t="s">
        <v>34</v>
      </c>
      <c r="D760">
        <v>2015</v>
      </c>
      <c r="E760">
        <v>99</v>
      </c>
      <c r="F760">
        <v>100</v>
      </c>
      <c r="G760" t="s">
        <v>14</v>
      </c>
      <c r="H760" t="s">
        <v>14</v>
      </c>
      <c r="I760" t="s">
        <v>14</v>
      </c>
      <c r="J760" t="s">
        <v>14</v>
      </c>
    </row>
    <row r="761" spans="1:10" x14ac:dyDescent="0.35">
      <c r="A761" t="s">
        <v>47</v>
      </c>
      <c r="B761" t="s">
        <v>48</v>
      </c>
      <c r="C761" t="s">
        <v>50</v>
      </c>
      <c r="D761">
        <v>2015</v>
      </c>
      <c r="E761">
        <v>99</v>
      </c>
      <c r="F761">
        <v>99</v>
      </c>
      <c r="G761">
        <v>35.702908000000001</v>
      </c>
      <c r="H761">
        <v>1556.51</v>
      </c>
      <c r="I761">
        <v>8965590</v>
      </c>
      <c r="J761">
        <v>6.91</v>
      </c>
    </row>
    <row r="762" spans="1:10" x14ac:dyDescent="0.35">
      <c r="A762" t="s">
        <v>47</v>
      </c>
      <c r="B762" t="s">
        <v>48</v>
      </c>
      <c r="C762" t="s">
        <v>50</v>
      </c>
      <c r="D762">
        <v>2016</v>
      </c>
      <c r="E762">
        <v>99</v>
      </c>
      <c r="F762">
        <v>99</v>
      </c>
      <c r="G762">
        <v>36.109487000000001</v>
      </c>
      <c r="H762">
        <v>1527.99</v>
      </c>
      <c r="I762">
        <v>8965590</v>
      </c>
      <c r="J762">
        <v>7</v>
      </c>
    </row>
    <row r="763" spans="1:10" x14ac:dyDescent="0.35">
      <c r="A763" t="s">
        <v>47</v>
      </c>
      <c r="B763" t="s">
        <v>48</v>
      </c>
      <c r="C763" t="s">
        <v>50</v>
      </c>
      <c r="D763">
        <v>2017</v>
      </c>
      <c r="E763">
        <v>99</v>
      </c>
      <c r="F763">
        <v>99</v>
      </c>
      <c r="G763">
        <v>36.545236000000003</v>
      </c>
      <c r="H763">
        <v>1649.27</v>
      </c>
      <c r="I763">
        <v>8965590</v>
      </c>
      <c r="J763">
        <v>6.34</v>
      </c>
    </row>
    <row r="764" spans="1:10" x14ac:dyDescent="0.35">
      <c r="A764" t="s">
        <v>47</v>
      </c>
      <c r="B764" t="s">
        <v>48</v>
      </c>
      <c r="C764" t="s">
        <v>50</v>
      </c>
      <c r="D764">
        <v>2018</v>
      </c>
      <c r="E764">
        <v>99</v>
      </c>
      <c r="F764">
        <v>99</v>
      </c>
      <c r="G764">
        <v>37.065083999999999</v>
      </c>
      <c r="H764">
        <v>1725.33</v>
      </c>
      <c r="I764">
        <v>8965590</v>
      </c>
      <c r="J764">
        <v>5.83</v>
      </c>
    </row>
    <row r="765" spans="1:10" x14ac:dyDescent="0.35">
      <c r="A765" t="s">
        <v>47</v>
      </c>
      <c r="B765" t="s">
        <v>48</v>
      </c>
      <c r="C765" t="s">
        <v>50</v>
      </c>
      <c r="D765">
        <v>2019</v>
      </c>
      <c r="E765">
        <v>99</v>
      </c>
      <c r="F765">
        <v>99</v>
      </c>
      <c r="G765">
        <v>37.601230000000001</v>
      </c>
      <c r="H765">
        <v>1742.02</v>
      </c>
      <c r="I765">
        <v>8965590</v>
      </c>
      <c r="J765">
        <v>5.66</v>
      </c>
    </row>
    <row r="766" spans="1:10" x14ac:dyDescent="0.35">
      <c r="A766" t="s">
        <v>47</v>
      </c>
      <c r="B766" t="s">
        <v>48</v>
      </c>
      <c r="C766" t="s">
        <v>50</v>
      </c>
      <c r="D766">
        <v>2020</v>
      </c>
      <c r="E766">
        <v>99</v>
      </c>
      <c r="F766">
        <v>99</v>
      </c>
      <c r="G766">
        <v>38.037204000000003</v>
      </c>
      <c r="H766">
        <v>1645.42</v>
      </c>
      <c r="I766">
        <v>8965590</v>
      </c>
      <c r="J766">
        <v>9.4600000000000009</v>
      </c>
    </row>
    <row r="767" spans="1:10" x14ac:dyDescent="0.35">
      <c r="A767" t="s">
        <v>47</v>
      </c>
      <c r="B767" t="s">
        <v>48</v>
      </c>
      <c r="C767" t="s">
        <v>53</v>
      </c>
      <c r="D767">
        <v>2015</v>
      </c>
      <c r="E767">
        <v>99</v>
      </c>
      <c r="F767">
        <v>99.67</v>
      </c>
      <c r="G767" t="s">
        <v>14</v>
      </c>
      <c r="H767" t="s">
        <v>14</v>
      </c>
      <c r="I767" t="s">
        <v>14</v>
      </c>
      <c r="J767" t="s">
        <v>14</v>
      </c>
    </row>
    <row r="768" spans="1:10" x14ac:dyDescent="0.35">
      <c r="A768" t="s">
        <v>54</v>
      </c>
      <c r="B768" t="s">
        <v>55</v>
      </c>
      <c r="C768" t="s">
        <v>59</v>
      </c>
      <c r="D768">
        <v>2015</v>
      </c>
      <c r="E768">
        <v>99</v>
      </c>
      <c r="F768">
        <v>95</v>
      </c>
      <c r="G768" t="s">
        <v>14</v>
      </c>
      <c r="H768" t="s">
        <v>14</v>
      </c>
      <c r="I768" t="s">
        <v>14</v>
      </c>
      <c r="J768" t="s">
        <v>14</v>
      </c>
    </row>
    <row r="769" spans="1:10" x14ac:dyDescent="0.35">
      <c r="A769" t="s">
        <v>54</v>
      </c>
      <c r="B769" t="s">
        <v>55</v>
      </c>
      <c r="C769" t="s">
        <v>59</v>
      </c>
      <c r="D769">
        <v>2016</v>
      </c>
      <c r="E769">
        <v>99</v>
      </c>
      <c r="F769">
        <v>95</v>
      </c>
      <c r="G769" t="s">
        <v>14</v>
      </c>
      <c r="H769" t="s">
        <v>14</v>
      </c>
      <c r="I769" t="s">
        <v>14</v>
      </c>
      <c r="J769" t="s">
        <v>14</v>
      </c>
    </row>
    <row r="770" spans="1:10" x14ac:dyDescent="0.35">
      <c r="A770" t="s">
        <v>54</v>
      </c>
      <c r="B770" t="s">
        <v>55</v>
      </c>
      <c r="C770" t="s">
        <v>59</v>
      </c>
      <c r="D770">
        <v>2017</v>
      </c>
      <c r="E770">
        <v>99</v>
      </c>
      <c r="F770">
        <v>95</v>
      </c>
      <c r="G770" t="s">
        <v>14</v>
      </c>
      <c r="H770" t="s">
        <v>14</v>
      </c>
      <c r="I770" t="s">
        <v>14</v>
      </c>
      <c r="J770" t="s">
        <v>14</v>
      </c>
    </row>
    <row r="771" spans="1:10" x14ac:dyDescent="0.35">
      <c r="A771" t="s">
        <v>54</v>
      </c>
      <c r="B771" t="s">
        <v>55</v>
      </c>
      <c r="C771" t="s">
        <v>59</v>
      </c>
      <c r="D771">
        <v>2018</v>
      </c>
      <c r="E771">
        <v>99</v>
      </c>
      <c r="F771">
        <v>95</v>
      </c>
      <c r="G771" t="s">
        <v>14</v>
      </c>
      <c r="H771" t="s">
        <v>14</v>
      </c>
      <c r="I771" t="s">
        <v>14</v>
      </c>
      <c r="J771" t="s">
        <v>14</v>
      </c>
    </row>
    <row r="772" spans="1:10" x14ac:dyDescent="0.35">
      <c r="A772" t="s">
        <v>54</v>
      </c>
      <c r="B772" t="s">
        <v>55</v>
      </c>
      <c r="C772" t="s">
        <v>59</v>
      </c>
      <c r="D772">
        <v>2019</v>
      </c>
      <c r="E772">
        <v>99</v>
      </c>
      <c r="F772">
        <v>95</v>
      </c>
      <c r="G772" t="s">
        <v>14</v>
      </c>
      <c r="H772" t="s">
        <v>14</v>
      </c>
      <c r="I772" t="s">
        <v>14</v>
      </c>
      <c r="J772" t="s">
        <v>14</v>
      </c>
    </row>
    <row r="773" spans="1:10" x14ac:dyDescent="0.35">
      <c r="A773" t="s">
        <v>54</v>
      </c>
      <c r="B773" t="s">
        <v>55</v>
      </c>
      <c r="C773" t="s">
        <v>60</v>
      </c>
      <c r="D773">
        <v>2018</v>
      </c>
      <c r="E773">
        <v>99</v>
      </c>
      <c r="F773">
        <v>97</v>
      </c>
      <c r="G773">
        <v>0.27968799999999999</v>
      </c>
      <c r="H773">
        <v>5.0999999999999996</v>
      </c>
      <c r="I773">
        <v>430</v>
      </c>
      <c r="J773">
        <v>8.32</v>
      </c>
    </row>
    <row r="774" spans="1:10" x14ac:dyDescent="0.35">
      <c r="A774" t="s">
        <v>54</v>
      </c>
      <c r="B774" t="s">
        <v>55</v>
      </c>
      <c r="C774" t="s">
        <v>60</v>
      </c>
      <c r="D774">
        <v>2019</v>
      </c>
      <c r="E774">
        <v>99</v>
      </c>
      <c r="F774">
        <v>98</v>
      </c>
      <c r="G774">
        <v>0.28017999999999998</v>
      </c>
      <c r="H774">
        <v>5.32</v>
      </c>
      <c r="I774">
        <v>430</v>
      </c>
      <c r="J774">
        <v>8.41</v>
      </c>
    </row>
    <row r="775" spans="1:10" x14ac:dyDescent="0.35">
      <c r="A775" t="s">
        <v>54</v>
      </c>
      <c r="B775" t="s">
        <v>55</v>
      </c>
      <c r="C775" t="s">
        <v>60</v>
      </c>
      <c r="D775">
        <v>2020</v>
      </c>
      <c r="E775">
        <v>99</v>
      </c>
      <c r="F775">
        <v>98</v>
      </c>
      <c r="G775">
        <v>0.28069300000000003</v>
      </c>
      <c r="H775">
        <v>4.67</v>
      </c>
      <c r="I775">
        <v>430</v>
      </c>
      <c r="J775" t="s">
        <v>14</v>
      </c>
    </row>
    <row r="776" spans="1:10" x14ac:dyDescent="0.35">
      <c r="A776" t="s">
        <v>54</v>
      </c>
      <c r="B776" t="s">
        <v>55</v>
      </c>
      <c r="C776" t="s">
        <v>64</v>
      </c>
      <c r="D776">
        <v>2015</v>
      </c>
      <c r="E776">
        <v>99</v>
      </c>
      <c r="F776">
        <v>99</v>
      </c>
      <c r="G776" t="s">
        <v>14</v>
      </c>
      <c r="H776" t="s">
        <v>14</v>
      </c>
      <c r="I776" t="s">
        <v>14</v>
      </c>
      <c r="J776" t="s">
        <v>14</v>
      </c>
    </row>
    <row r="777" spans="1:10" x14ac:dyDescent="0.35">
      <c r="A777" t="s">
        <v>54</v>
      </c>
      <c r="B777" t="s">
        <v>55</v>
      </c>
      <c r="C777" t="s">
        <v>64</v>
      </c>
      <c r="D777">
        <v>2016</v>
      </c>
      <c r="E777">
        <v>99</v>
      </c>
      <c r="F777">
        <v>99</v>
      </c>
      <c r="G777" t="s">
        <v>14</v>
      </c>
      <c r="H777" t="s">
        <v>14</v>
      </c>
      <c r="I777" t="s">
        <v>14</v>
      </c>
      <c r="J777" t="s">
        <v>14</v>
      </c>
    </row>
    <row r="778" spans="1:10" x14ac:dyDescent="0.35">
      <c r="A778" t="s">
        <v>54</v>
      </c>
      <c r="B778" t="s">
        <v>55</v>
      </c>
      <c r="C778" t="s">
        <v>64</v>
      </c>
      <c r="D778">
        <v>2017</v>
      </c>
      <c r="E778">
        <v>99</v>
      </c>
      <c r="F778">
        <v>99</v>
      </c>
      <c r="G778" t="s">
        <v>14</v>
      </c>
      <c r="H778" t="s">
        <v>14</v>
      </c>
      <c r="I778" t="s">
        <v>14</v>
      </c>
      <c r="J778" t="s">
        <v>14</v>
      </c>
    </row>
    <row r="779" spans="1:10" x14ac:dyDescent="0.35">
      <c r="A779" t="s">
        <v>54</v>
      </c>
      <c r="B779" t="s">
        <v>55</v>
      </c>
      <c r="C779" t="s">
        <v>73</v>
      </c>
      <c r="D779">
        <v>2015</v>
      </c>
      <c r="E779">
        <v>99</v>
      </c>
      <c r="F779">
        <v>100</v>
      </c>
      <c r="G779">
        <v>3.4732319999999999</v>
      </c>
      <c r="H779">
        <v>103.38</v>
      </c>
      <c r="I779">
        <v>8870</v>
      </c>
      <c r="J779">
        <v>12</v>
      </c>
    </row>
    <row r="780" spans="1:10" x14ac:dyDescent="0.35">
      <c r="A780" t="s">
        <v>54</v>
      </c>
      <c r="B780" t="s">
        <v>55</v>
      </c>
      <c r="C780" t="s">
        <v>75</v>
      </c>
      <c r="D780">
        <v>2015</v>
      </c>
      <c r="E780">
        <v>99</v>
      </c>
      <c r="F780">
        <v>95</v>
      </c>
      <c r="G780" t="s">
        <v>14</v>
      </c>
      <c r="H780" t="s">
        <v>14</v>
      </c>
      <c r="I780" t="s">
        <v>14</v>
      </c>
      <c r="J780" t="s">
        <v>14</v>
      </c>
    </row>
    <row r="781" spans="1:10" x14ac:dyDescent="0.35">
      <c r="A781" t="s">
        <v>54</v>
      </c>
      <c r="B781" t="s">
        <v>55</v>
      </c>
      <c r="C781" t="s">
        <v>75</v>
      </c>
      <c r="D781">
        <v>2016</v>
      </c>
      <c r="E781">
        <v>99</v>
      </c>
      <c r="F781">
        <v>95</v>
      </c>
      <c r="G781" t="s">
        <v>14</v>
      </c>
      <c r="H781" t="s">
        <v>14</v>
      </c>
      <c r="I781" t="s">
        <v>14</v>
      </c>
      <c r="J781" t="s">
        <v>14</v>
      </c>
    </row>
    <row r="782" spans="1:10" x14ac:dyDescent="0.35">
      <c r="A782" t="s">
        <v>54</v>
      </c>
      <c r="B782" t="s">
        <v>55</v>
      </c>
      <c r="C782" t="s">
        <v>75</v>
      </c>
      <c r="D782">
        <v>2017</v>
      </c>
      <c r="E782">
        <v>99</v>
      </c>
      <c r="F782">
        <v>95</v>
      </c>
      <c r="G782" t="s">
        <v>14</v>
      </c>
      <c r="H782" t="s">
        <v>14</v>
      </c>
      <c r="I782" t="s">
        <v>14</v>
      </c>
      <c r="J782" t="s">
        <v>14</v>
      </c>
    </row>
    <row r="783" spans="1:10" x14ac:dyDescent="0.35">
      <c r="A783" t="s">
        <v>54</v>
      </c>
      <c r="B783" t="s">
        <v>55</v>
      </c>
      <c r="C783" t="s">
        <v>80</v>
      </c>
      <c r="D783">
        <v>2016</v>
      </c>
      <c r="E783">
        <v>99</v>
      </c>
      <c r="F783">
        <v>94</v>
      </c>
      <c r="G783">
        <v>1.46933</v>
      </c>
      <c r="H783">
        <v>23.5</v>
      </c>
      <c r="I783">
        <v>5130</v>
      </c>
      <c r="J783">
        <v>3.21</v>
      </c>
    </row>
    <row r="784" spans="1:10" x14ac:dyDescent="0.35">
      <c r="A784" t="s">
        <v>54</v>
      </c>
      <c r="B784" t="s">
        <v>55</v>
      </c>
      <c r="C784" t="s">
        <v>80</v>
      </c>
      <c r="D784">
        <v>2017</v>
      </c>
      <c r="E784">
        <v>99</v>
      </c>
      <c r="F784">
        <v>94</v>
      </c>
      <c r="G784">
        <v>1.478607</v>
      </c>
      <c r="H784">
        <v>23.8</v>
      </c>
      <c r="I784">
        <v>5130</v>
      </c>
      <c r="J784" t="s">
        <v>14</v>
      </c>
    </row>
    <row r="785" spans="1:10" x14ac:dyDescent="0.35">
      <c r="A785" t="s">
        <v>54</v>
      </c>
      <c r="B785" t="s">
        <v>55</v>
      </c>
      <c r="C785" t="s">
        <v>80</v>
      </c>
      <c r="D785">
        <v>2018</v>
      </c>
      <c r="E785">
        <v>99</v>
      </c>
      <c r="F785">
        <v>94</v>
      </c>
      <c r="G785">
        <v>1.5047090000000001</v>
      </c>
      <c r="H785">
        <v>24.32</v>
      </c>
      <c r="I785">
        <v>5130</v>
      </c>
      <c r="J785" t="s">
        <v>14</v>
      </c>
    </row>
    <row r="786" spans="1:10" x14ac:dyDescent="0.35">
      <c r="A786" t="s">
        <v>54</v>
      </c>
      <c r="B786" t="s">
        <v>55</v>
      </c>
      <c r="C786" t="s">
        <v>80</v>
      </c>
      <c r="D786">
        <v>2019</v>
      </c>
      <c r="E786">
        <v>99</v>
      </c>
      <c r="F786">
        <v>94</v>
      </c>
      <c r="G786">
        <v>1.5199549999999999</v>
      </c>
      <c r="H786">
        <v>23.85</v>
      </c>
      <c r="I786">
        <v>5130</v>
      </c>
      <c r="J786">
        <v>3.52</v>
      </c>
    </row>
    <row r="787" spans="1:10" x14ac:dyDescent="0.35">
      <c r="A787" t="s">
        <v>54</v>
      </c>
      <c r="B787" t="s">
        <v>55</v>
      </c>
      <c r="C787" t="s">
        <v>80</v>
      </c>
      <c r="D787">
        <v>2020</v>
      </c>
      <c r="E787">
        <v>99</v>
      </c>
      <c r="F787">
        <v>94</v>
      </c>
      <c r="G787">
        <v>1.5181469999999999</v>
      </c>
      <c r="H787">
        <v>21.06</v>
      </c>
      <c r="I787">
        <v>5130</v>
      </c>
      <c r="J787">
        <v>4.21</v>
      </c>
    </row>
    <row r="788" spans="1:10" x14ac:dyDescent="0.35">
      <c r="A788" t="s">
        <v>54</v>
      </c>
      <c r="B788" t="s">
        <v>55</v>
      </c>
      <c r="C788" t="s">
        <v>82</v>
      </c>
      <c r="D788">
        <v>2015</v>
      </c>
      <c r="E788">
        <v>99</v>
      </c>
      <c r="F788">
        <v>99</v>
      </c>
      <c r="G788" t="s">
        <v>14</v>
      </c>
      <c r="H788" t="s">
        <v>14</v>
      </c>
      <c r="I788" t="s">
        <v>14</v>
      </c>
      <c r="J788" t="s">
        <v>14</v>
      </c>
    </row>
    <row r="789" spans="1:10" x14ac:dyDescent="0.35">
      <c r="A789" t="s">
        <v>54</v>
      </c>
      <c r="B789" t="s">
        <v>55</v>
      </c>
      <c r="C789" t="s">
        <v>82</v>
      </c>
      <c r="D789">
        <v>2016</v>
      </c>
      <c r="E789">
        <v>99</v>
      </c>
      <c r="F789">
        <v>99</v>
      </c>
      <c r="G789" t="s">
        <v>14</v>
      </c>
      <c r="H789" t="s">
        <v>14</v>
      </c>
      <c r="I789" t="s">
        <v>14</v>
      </c>
      <c r="J789" t="s">
        <v>14</v>
      </c>
    </row>
    <row r="790" spans="1:10" x14ac:dyDescent="0.35">
      <c r="A790" t="s">
        <v>54</v>
      </c>
      <c r="B790" t="s">
        <v>55</v>
      </c>
      <c r="C790" t="s">
        <v>82</v>
      </c>
      <c r="D790">
        <v>2017</v>
      </c>
      <c r="E790">
        <v>99</v>
      </c>
      <c r="F790">
        <v>99</v>
      </c>
      <c r="G790" t="s">
        <v>14</v>
      </c>
      <c r="H790" t="s">
        <v>14</v>
      </c>
      <c r="I790" t="s">
        <v>14</v>
      </c>
      <c r="J790" t="s">
        <v>14</v>
      </c>
    </row>
    <row r="791" spans="1:10" x14ac:dyDescent="0.35">
      <c r="A791" t="s">
        <v>54</v>
      </c>
      <c r="B791" t="s">
        <v>55</v>
      </c>
      <c r="C791" t="s">
        <v>82</v>
      </c>
      <c r="D791">
        <v>2018</v>
      </c>
      <c r="E791">
        <v>99</v>
      </c>
      <c r="F791">
        <v>99</v>
      </c>
      <c r="G791" t="s">
        <v>14</v>
      </c>
      <c r="H791" t="s">
        <v>14</v>
      </c>
      <c r="I791" t="s">
        <v>14</v>
      </c>
      <c r="J791" t="s">
        <v>14</v>
      </c>
    </row>
    <row r="792" spans="1:10" x14ac:dyDescent="0.35">
      <c r="A792" t="s">
        <v>54</v>
      </c>
      <c r="B792" t="s">
        <v>55</v>
      </c>
      <c r="C792" t="s">
        <v>82</v>
      </c>
      <c r="D792">
        <v>2019</v>
      </c>
      <c r="E792">
        <v>99</v>
      </c>
      <c r="F792">
        <v>99</v>
      </c>
      <c r="G792" t="s">
        <v>14</v>
      </c>
      <c r="H792" t="s">
        <v>14</v>
      </c>
      <c r="I792" t="s">
        <v>14</v>
      </c>
      <c r="J792" t="s">
        <v>14</v>
      </c>
    </row>
    <row r="793" spans="1:10" x14ac:dyDescent="0.35">
      <c r="A793" t="s">
        <v>54</v>
      </c>
      <c r="B793" t="s">
        <v>55</v>
      </c>
      <c r="C793" t="s">
        <v>82</v>
      </c>
      <c r="D793">
        <v>2020</v>
      </c>
      <c r="E793">
        <v>99</v>
      </c>
      <c r="F793">
        <v>99</v>
      </c>
      <c r="G793" t="s">
        <v>14</v>
      </c>
      <c r="H793" t="s">
        <v>14</v>
      </c>
      <c r="I793" t="s">
        <v>14</v>
      </c>
      <c r="J793" t="s">
        <v>14</v>
      </c>
    </row>
    <row r="794" spans="1:10" x14ac:dyDescent="0.35">
      <c r="A794" t="s">
        <v>54</v>
      </c>
      <c r="B794" t="s">
        <v>83</v>
      </c>
      <c r="C794" t="s">
        <v>85</v>
      </c>
      <c r="D794">
        <v>2015</v>
      </c>
      <c r="E794">
        <v>99</v>
      </c>
      <c r="F794">
        <v>96.33</v>
      </c>
      <c r="G794">
        <v>4.8952419999999996</v>
      </c>
      <c r="H794">
        <v>56.44</v>
      </c>
      <c r="I794">
        <v>51060</v>
      </c>
      <c r="J794">
        <v>8.42</v>
      </c>
    </row>
    <row r="795" spans="1:10" x14ac:dyDescent="0.35">
      <c r="A795" t="s">
        <v>54</v>
      </c>
      <c r="B795" t="s">
        <v>92</v>
      </c>
      <c r="C795" t="s">
        <v>96</v>
      </c>
      <c r="D795">
        <v>2015</v>
      </c>
      <c r="E795">
        <v>99</v>
      </c>
      <c r="F795">
        <v>98.67</v>
      </c>
      <c r="G795">
        <v>17.870124000000001</v>
      </c>
      <c r="H795">
        <v>242.5</v>
      </c>
      <c r="I795">
        <v>743532</v>
      </c>
      <c r="J795">
        <v>6.49</v>
      </c>
    </row>
    <row r="796" spans="1:10" x14ac:dyDescent="0.35">
      <c r="A796" t="s">
        <v>107</v>
      </c>
      <c r="B796" t="s">
        <v>108</v>
      </c>
      <c r="C796" t="s">
        <v>111</v>
      </c>
      <c r="D796">
        <v>2017</v>
      </c>
      <c r="E796">
        <v>99</v>
      </c>
      <c r="F796">
        <v>92</v>
      </c>
      <c r="G796">
        <v>6.3782610000000002</v>
      </c>
      <c r="H796">
        <v>67.16</v>
      </c>
      <c r="I796">
        <v>1759540</v>
      </c>
      <c r="J796" t="s">
        <v>14</v>
      </c>
    </row>
    <row r="797" spans="1:10" x14ac:dyDescent="0.35">
      <c r="A797" t="s">
        <v>134</v>
      </c>
      <c r="B797" t="s">
        <v>138</v>
      </c>
      <c r="C797" t="s">
        <v>140</v>
      </c>
      <c r="D797">
        <v>2017</v>
      </c>
      <c r="E797">
        <v>99</v>
      </c>
      <c r="F797">
        <v>100</v>
      </c>
      <c r="G797">
        <v>0.27081</v>
      </c>
      <c r="H797">
        <v>9.17</v>
      </c>
      <c r="I797">
        <v>18280</v>
      </c>
      <c r="J797">
        <v>11.68</v>
      </c>
    </row>
    <row r="798" spans="1:10" x14ac:dyDescent="0.35">
      <c r="A798" t="s">
        <v>134</v>
      </c>
      <c r="B798" t="s">
        <v>138</v>
      </c>
      <c r="C798" t="s">
        <v>140</v>
      </c>
      <c r="D798">
        <v>2018</v>
      </c>
      <c r="E798">
        <v>99</v>
      </c>
      <c r="F798">
        <v>100</v>
      </c>
      <c r="G798">
        <v>0.27117000000000002</v>
      </c>
      <c r="H798">
        <v>9.85</v>
      </c>
      <c r="I798">
        <v>18280</v>
      </c>
      <c r="J798">
        <v>11.7</v>
      </c>
    </row>
    <row r="799" spans="1:10" x14ac:dyDescent="0.35">
      <c r="A799" t="s">
        <v>134</v>
      </c>
      <c r="B799" t="s">
        <v>138</v>
      </c>
      <c r="C799" t="s">
        <v>140</v>
      </c>
      <c r="D799">
        <v>2019</v>
      </c>
      <c r="E799">
        <v>99</v>
      </c>
      <c r="F799">
        <v>100</v>
      </c>
      <c r="G799">
        <v>0.27123000000000003</v>
      </c>
      <c r="H799">
        <v>9.44</v>
      </c>
      <c r="I799">
        <v>18280</v>
      </c>
      <c r="J799">
        <v>10.88</v>
      </c>
    </row>
    <row r="800" spans="1:10" x14ac:dyDescent="0.35">
      <c r="A800" t="s">
        <v>134</v>
      </c>
      <c r="B800" t="s">
        <v>138</v>
      </c>
      <c r="C800" t="s">
        <v>140</v>
      </c>
      <c r="D800">
        <v>2020</v>
      </c>
      <c r="E800">
        <v>99</v>
      </c>
      <c r="F800">
        <v>100</v>
      </c>
      <c r="G800">
        <v>0.27112999999999998</v>
      </c>
      <c r="H800">
        <v>9.44</v>
      </c>
      <c r="I800">
        <v>18280</v>
      </c>
      <c r="J800">
        <v>13.56</v>
      </c>
    </row>
    <row r="801" spans="1:10" x14ac:dyDescent="0.35">
      <c r="A801" t="s">
        <v>134</v>
      </c>
      <c r="B801" t="s">
        <v>152</v>
      </c>
      <c r="C801" t="s">
        <v>158</v>
      </c>
      <c r="D801">
        <v>2015</v>
      </c>
      <c r="E801">
        <v>99</v>
      </c>
      <c r="F801">
        <v>94</v>
      </c>
      <c r="G801" t="s">
        <v>14</v>
      </c>
      <c r="H801" t="s">
        <v>14</v>
      </c>
      <c r="I801" t="s">
        <v>14</v>
      </c>
      <c r="J801" t="s">
        <v>14</v>
      </c>
    </row>
    <row r="802" spans="1:10" x14ac:dyDescent="0.35">
      <c r="A802" t="s">
        <v>134</v>
      </c>
      <c r="B802" t="s">
        <v>152</v>
      </c>
      <c r="C802" t="s">
        <v>159</v>
      </c>
      <c r="D802">
        <v>2020</v>
      </c>
      <c r="E802">
        <v>99</v>
      </c>
      <c r="F802">
        <v>93.33</v>
      </c>
      <c r="G802">
        <v>0.105254</v>
      </c>
      <c r="H802">
        <v>0.48</v>
      </c>
      <c r="I802">
        <v>720</v>
      </c>
      <c r="J802" t="s">
        <v>14</v>
      </c>
    </row>
    <row r="803" spans="1:10" x14ac:dyDescent="0.35">
      <c r="A803" t="s">
        <v>134</v>
      </c>
      <c r="B803" t="s">
        <v>152</v>
      </c>
      <c r="C803" t="s">
        <v>161</v>
      </c>
      <c r="D803">
        <v>2015</v>
      </c>
      <c r="E803">
        <v>99</v>
      </c>
      <c r="F803">
        <v>95</v>
      </c>
      <c r="G803" t="s">
        <v>14</v>
      </c>
      <c r="H803" t="s">
        <v>14</v>
      </c>
      <c r="I803" t="s">
        <v>14</v>
      </c>
      <c r="J803" t="s">
        <v>14</v>
      </c>
    </row>
    <row r="804" spans="1:10" x14ac:dyDescent="0.35">
      <c r="A804" t="s">
        <v>134</v>
      </c>
      <c r="B804" t="s">
        <v>152</v>
      </c>
      <c r="C804" t="s">
        <v>161</v>
      </c>
      <c r="D804">
        <v>2016</v>
      </c>
      <c r="E804">
        <v>99</v>
      </c>
      <c r="F804">
        <v>94</v>
      </c>
      <c r="G804" t="s">
        <v>14</v>
      </c>
      <c r="H804" t="s">
        <v>14</v>
      </c>
      <c r="I804" t="s">
        <v>14</v>
      </c>
      <c r="J804" t="s">
        <v>14</v>
      </c>
    </row>
    <row r="805" spans="1:10" x14ac:dyDescent="0.35">
      <c r="A805" t="s">
        <v>134</v>
      </c>
      <c r="B805" t="s">
        <v>152</v>
      </c>
      <c r="C805" t="s">
        <v>161</v>
      </c>
      <c r="D805">
        <v>2017</v>
      </c>
      <c r="E805">
        <v>99</v>
      </c>
      <c r="F805">
        <v>94</v>
      </c>
      <c r="G805" t="s">
        <v>14</v>
      </c>
      <c r="H805" t="s">
        <v>14</v>
      </c>
      <c r="I805" t="s">
        <v>14</v>
      </c>
      <c r="J805" t="s">
        <v>14</v>
      </c>
    </row>
    <row r="806" spans="1:10" x14ac:dyDescent="0.35">
      <c r="A806" t="s">
        <v>134</v>
      </c>
      <c r="B806" t="s">
        <v>152</v>
      </c>
      <c r="C806" t="s">
        <v>161</v>
      </c>
      <c r="D806">
        <v>2018</v>
      </c>
      <c r="E806">
        <v>99</v>
      </c>
      <c r="F806">
        <v>94</v>
      </c>
      <c r="G806" t="s">
        <v>14</v>
      </c>
      <c r="H806" t="s">
        <v>14</v>
      </c>
      <c r="I806" t="s">
        <v>14</v>
      </c>
      <c r="J806" t="s">
        <v>14</v>
      </c>
    </row>
    <row r="807" spans="1:10" x14ac:dyDescent="0.35">
      <c r="A807" t="s">
        <v>134</v>
      </c>
      <c r="B807" t="s">
        <v>152</v>
      </c>
      <c r="C807" t="s">
        <v>161</v>
      </c>
      <c r="D807">
        <v>2019</v>
      </c>
      <c r="E807">
        <v>99</v>
      </c>
      <c r="F807">
        <v>93</v>
      </c>
      <c r="G807" t="s">
        <v>14</v>
      </c>
      <c r="H807" t="s">
        <v>14</v>
      </c>
      <c r="I807" t="s">
        <v>14</v>
      </c>
      <c r="J807" t="s">
        <v>14</v>
      </c>
    </row>
    <row r="808" spans="1:10" x14ac:dyDescent="0.35">
      <c r="A808" t="s">
        <v>134</v>
      </c>
      <c r="B808" t="s">
        <v>152</v>
      </c>
      <c r="C808" t="s">
        <v>161</v>
      </c>
      <c r="D808">
        <v>2020</v>
      </c>
      <c r="E808">
        <v>99</v>
      </c>
      <c r="F808">
        <v>93</v>
      </c>
      <c r="G808" t="s">
        <v>14</v>
      </c>
      <c r="H808" t="s">
        <v>14</v>
      </c>
      <c r="I808" t="s">
        <v>14</v>
      </c>
      <c r="J808" t="s">
        <v>14</v>
      </c>
    </row>
    <row r="809" spans="1:10" x14ac:dyDescent="0.35">
      <c r="A809" t="s">
        <v>162</v>
      </c>
      <c r="B809" t="s">
        <v>200</v>
      </c>
      <c r="C809" t="s">
        <v>214</v>
      </c>
      <c r="D809">
        <v>2015</v>
      </c>
      <c r="E809">
        <v>99</v>
      </c>
      <c r="F809">
        <v>100</v>
      </c>
      <c r="G809" t="s">
        <v>14</v>
      </c>
      <c r="H809" t="s">
        <v>14</v>
      </c>
      <c r="I809" t="s">
        <v>14</v>
      </c>
      <c r="J809" t="s">
        <v>14</v>
      </c>
    </row>
    <row r="810" spans="1:10" x14ac:dyDescent="0.35">
      <c r="A810" t="s">
        <v>162</v>
      </c>
      <c r="B810" t="s">
        <v>200</v>
      </c>
      <c r="C810" t="s">
        <v>214</v>
      </c>
      <c r="D810">
        <v>2016</v>
      </c>
      <c r="E810">
        <v>99</v>
      </c>
      <c r="F810">
        <v>100</v>
      </c>
      <c r="G810" t="s">
        <v>14</v>
      </c>
      <c r="H810" t="s">
        <v>14</v>
      </c>
      <c r="I810" t="s">
        <v>14</v>
      </c>
      <c r="J810" t="s">
        <v>14</v>
      </c>
    </row>
    <row r="811" spans="1:10" x14ac:dyDescent="0.35">
      <c r="A811" t="s">
        <v>162</v>
      </c>
      <c r="B811" t="s">
        <v>200</v>
      </c>
      <c r="C811" t="s">
        <v>214</v>
      </c>
      <c r="D811">
        <v>2017</v>
      </c>
      <c r="E811">
        <v>99</v>
      </c>
      <c r="F811">
        <v>100</v>
      </c>
      <c r="G811" t="s">
        <v>14</v>
      </c>
      <c r="H811" t="s">
        <v>14</v>
      </c>
      <c r="I811" t="s">
        <v>14</v>
      </c>
      <c r="J811" t="s">
        <v>14</v>
      </c>
    </row>
    <row r="812" spans="1:10" x14ac:dyDescent="0.35">
      <c r="A812" t="s">
        <v>162</v>
      </c>
      <c r="B812" t="s">
        <v>200</v>
      </c>
      <c r="C812" t="s">
        <v>214</v>
      </c>
      <c r="D812">
        <v>2018</v>
      </c>
      <c r="E812">
        <v>99</v>
      </c>
      <c r="F812">
        <v>100</v>
      </c>
      <c r="G812" t="s">
        <v>14</v>
      </c>
      <c r="H812" t="s">
        <v>14</v>
      </c>
      <c r="I812" t="s">
        <v>14</v>
      </c>
      <c r="J812" t="s">
        <v>14</v>
      </c>
    </row>
    <row r="813" spans="1:10" x14ac:dyDescent="0.35">
      <c r="A813" t="s">
        <v>162</v>
      </c>
      <c r="B813" t="s">
        <v>200</v>
      </c>
      <c r="C813" t="s">
        <v>214</v>
      </c>
      <c r="D813">
        <v>2019</v>
      </c>
      <c r="E813">
        <v>99</v>
      </c>
      <c r="F813">
        <v>100</v>
      </c>
      <c r="G813" t="s">
        <v>14</v>
      </c>
      <c r="H813" t="s">
        <v>14</v>
      </c>
      <c r="I813" t="s">
        <v>14</v>
      </c>
      <c r="J813" t="s">
        <v>14</v>
      </c>
    </row>
    <row r="814" spans="1:10" x14ac:dyDescent="0.35">
      <c r="A814" t="s">
        <v>162</v>
      </c>
      <c r="B814" t="s">
        <v>200</v>
      </c>
      <c r="C814" t="s">
        <v>214</v>
      </c>
      <c r="D814">
        <v>2020</v>
      </c>
      <c r="E814">
        <v>99</v>
      </c>
      <c r="F814">
        <v>100</v>
      </c>
      <c r="G814" t="s">
        <v>14</v>
      </c>
      <c r="H814" t="s">
        <v>14</v>
      </c>
      <c r="I814" t="s">
        <v>14</v>
      </c>
      <c r="J814" t="s">
        <v>14</v>
      </c>
    </row>
    <row r="815" spans="1:10" x14ac:dyDescent="0.35">
      <c r="A815" t="s">
        <v>10</v>
      </c>
      <c r="B815" t="s">
        <v>11</v>
      </c>
      <c r="C815" t="s">
        <v>16</v>
      </c>
      <c r="D815">
        <v>2018</v>
      </c>
      <c r="E815">
        <v>99.33</v>
      </c>
      <c r="F815">
        <v>98.67</v>
      </c>
      <c r="G815">
        <v>6.0650659999999998</v>
      </c>
      <c r="H815">
        <v>40.770000000000003</v>
      </c>
      <c r="I815">
        <v>469930</v>
      </c>
      <c r="J815" t="s">
        <v>14</v>
      </c>
    </row>
    <row r="816" spans="1:10" x14ac:dyDescent="0.35">
      <c r="A816" t="s">
        <v>10</v>
      </c>
      <c r="B816" t="s">
        <v>18</v>
      </c>
      <c r="C816" t="s">
        <v>24</v>
      </c>
      <c r="D816">
        <v>2017</v>
      </c>
      <c r="E816">
        <v>99.33</v>
      </c>
      <c r="F816">
        <v>96.33</v>
      </c>
      <c r="G816">
        <v>0.47244199999999997</v>
      </c>
      <c r="H816">
        <v>4.75</v>
      </c>
      <c r="I816">
        <v>300</v>
      </c>
      <c r="J816" t="s">
        <v>14</v>
      </c>
    </row>
    <row r="817" spans="1:10" x14ac:dyDescent="0.35">
      <c r="A817" t="s">
        <v>10</v>
      </c>
      <c r="B817" t="s">
        <v>18</v>
      </c>
      <c r="C817" t="s">
        <v>24</v>
      </c>
      <c r="D817">
        <v>2018</v>
      </c>
      <c r="E817">
        <v>99.33</v>
      </c>
      <c r="F817">
        <v>97.67</v>
      </c>
      <c r="G817">
        <v>0.48975800000000003</v>
      </c>
      <c r="H817">
        <v>5.3</v>
      </c>
      <c r="I817">
        <v>300</v>
      </c>
      <c r="J817" t="s">
        <v>14</v>
      </c>
    </row>
    <row r="818" spans="1:10" x14ac:dyDescent="0.35">
      <c r="A818" t="s">
        <v>28</v>
      </c>
      <c r="B818" t="s">
        <v>35</v>
      </c>
      <c r="C818" t="s">
        <v>44</v>
      </c>
      <c r="D818">
        <v>2015</v>
      </c>
      <c r="E818">
        <v>99.33</v>
      </c>
      <c r="F818">
        <v>97</v>
      </c>
      <c r="G818">
        <v>70.294397000000004</v>
      </c>
      <c r="H818">
        <v>401.3</v>
      </c>
      <c r="I818">
        <v>510890</v>
      </c>
      <c r="J818">
        <v>0.6</v>
      </c>
    </row>
    <row r="819" spans="1:10" x14ac:dyDescent="0.35">
      <c r="A819" t="s">
        <v>28</v>
      </c>
      <c r="B819" t="s">
        <v>35</v>
      </c>
      <c r="C819" t="s">
        <v>44</v>
      </c>
      <c r="D819">
        <v>2016</v>
      </c>
      <c r="E819">
        <v>99.33</v>
      </c>
      <c r="F819">
        <v>97.33</v>
      </c>
      <c r="G819">
        <v>70.607037000000005</v>
      </c>
      <c r="H819">
        <v>413.37</v>
      </c>
      <c r="I819">
        <v>510890</v>
      </c>
      <c r="J819">
        <v>0.69</v>
      </c>
    </row>
    <row r="820" spans="1:10" x14ac:dyDescent="0.35">
      <c r="A820" t="s">
        <v>47</v>
      </c>
      <c r="B820" t="s">
        <v>48</v>
      </c>
      <c r="C820" t="s">
        <v>53</v>
      </c>
      <c r="D820">
        <v>2016</v>
      </c>
      <c r="E820">
        <v>99.33</v>
      </c>
      <c r="F820">
        <v>99.67</v>
      </c>
      <c r="G820" t="s">
        <v>14</v>
      </c>
      <c r="H820" t="s">
        <v>14</v>
      </c>
      <c r="I820" t="s">
        <v>14</v>
      </c>
      <c r="J820" t="s">
        <v>14</v>
      </c>
    </row>
    <row r="821" spans="1:10" x14ac:dyDescent="0.35">
      <c r="A821" t="s">
        <v>54</v>
      </c>
      <c r="B821" t="s">
        <v>83</v>
      </c>
      <c r="C821" t="s">
        <v>89</v>
      </c>
      <c r="D821">
        <v>2020</v>
      </c>
      <c r="E821">
        <v>99.33</v>
      </c>
      <c r="F821">
        <v>90.67</v>
      </c>
      <c r="G821">
        <v>125.998302</v>
      </c>
      <c r="H821">
        <v>1090.52</v>
      </c>
      <c r="I821">
        <v>1943950</v>
      </c>
      <c r="J821">
        <v>4.4400000000000004</v>
      </c>
    </row>
    <row r="822" spans="1:10" x14ac:dyDescent="0.35">
      <c r="A822" t="s">
        <v>54</v>
      </c>
      <c r="B822" t="s">
        <v>92</v>
      </c>
      <c r="C822" t="s">
        <v>102</v>
      </c>
      <c r="D822">
        <v>2017</v>
      </c>
      <c r="E822">
        <v>99.33</v>
      </c>
      <c r="F822">
        <v>89</v>
      </c>
      <c r="G822">
        <v>6.3554040000000001</v>
      </c>
      <c r="H822">
        <v>39</v>
      </c>
      <c r="I822">
        <v>397300</v>
      </c>
      <c r="J822">
        <v>4.6100000000000003</v>
      </c>
    </row>
    <row r="823" spans="1:10" x14ac:dyDescent="0.35">
      <c r="A823" t="s">
        <v>107</v>
      </c>
      <c r="B823" t="s">
        <v>108</v>
      </c>
      <c r="C823" t="s">
        <v>110</v>
      </c>
      <c r="D823">
        <v>2015</v>
      </c>
      <c r="E823">
        <v>99.33</v>
      </c>
      <c r="F823">
        <v>96.33</v>
      </c>
      <c r="G823" t="s">
        <v>14</v>
      </c>
      <c r="H823" t="s">
        <v>14</v>
      </c>
      <c r="I823" t="s">
        <v>14</v>
      </c>
      <c r="J823" t="s">
        <v>14</v>
      </c>
    </row>
    <row r="824" spans="1:10" x14ac:dyDescent="0.35">
      <c r="A824" t="s">
        <v>107</v>
      </c>
      <c r="B824" t="s">
        <v>108</v>
      </c>
      <c r="C824" t="s">
        <v>110</v>
      </c>
      <c r="D824">
        <v>2016</v>
      </c>
      <c r="E824">
        <v>99.33</v>
      </c>
      <c r="F824">
        <v>96.33</v>
      </c>
      <c r="G824" t="s">
        <v>14</v>
      </c>
      <c r="H824" t="s">
        <v>14</v>
      </c>
      <c r="I824" t="s">
        <v>14</v>
      </c>
      <c r="J824" t="s">
        <v>14</v>
      </c>
    </row>
    <row r="825" spans="1:10" x14ac:dyDescent="0.35">
      <c r="A825" t="s">
        <v>107</v>
      </c>
      <c r="B825" t="s">
        <v>108</v>
      </c>
      <c r="C825" t="s">
        <v>110</v>
      </c>
      <c r="D825">
        <v>2017</v>
      </c>
      <c r="E825">
        <v>99.33</v>
      </c>
      <c r="F825">
        <v>96.33</v>
      </c>
      <c r="G825" t="s">
        <v>14</v>
      </c>
      <c r="H825" t="s">
        <v>14</v>
      </c>
      <c r="I825" t="s">
        <v>14</v>
      </c>
      <c r="J825" t="s">
        <v>14</v>
      </c>
    </row>
    <row r="826" spans="1:10" x14ac:dyDescent="0.35">
      <c r="A826" t="s">
        <v>107</v>
      </c>
      <c r="B826" t="s">
        <v>108</v>
      </c>
      <c r="C826" t="s">
        <v>110</v>
      </c>
      <c r="D826">
        <v>2018</v>
      </c>
      <c r="E826">
        <v>99.33</v>
      </c>
      <c r="F826">
        <v>97</v>
      </c>
      <c r="G826" t="s">
        <v>14</v>
      </c>
      <c r="H826" t="s">
        <v>14</v>
      </c>
      <c r="I826" t="s">
        <v>14</v>
      </c>
      <c r="J826" t="s">
        <v>14</v>
      </c>
    </row>
    <row r="827" spans="1:10" x14ac:dyDescent="0.35">
      <c r="A827" t="s">
        <v>107</v>
      </c>
      <c r="B827" t="s">
        <v>108</v>
      </c>
      <c r="C827" t="s">
        <v>110</v>
      </c>
      <c r="D827">
        <v>2019</v>
      </c>
      <c r="E827">
        <v>99.33</v>
      </c>
      <c r="F827">
        <v>97</v>
      </c>
      <c r="G827" t="s">
        <v>14</v>
      </c>
      <c r="H827" t="s">
        <v>14</v>
      </c>
      <c r="I827" t="s">
        <v>14</v>
      </c>
      <c r="J827" t="s">
        <v>14</v>
      </c>
    </row>
    <row r="828" spans="1:10" x14ac:dyDescent="0.35">
      <c r="A828" t="s">
        <v>107</v>
      </c>
      <c r="B828" t="s">
        <v>108</v>
      </c>
      <c r="C828" t="s">
        <v>110</v>
      </c>
      <c r="D828">
        <v>2020</v>
      </c>
      <c r="E828">
        <v>99.33</v>
      </c>
      <c r="F828">
        <v>97.67</v>
      </c>
      <c r="G828" t="s">
        <v>14</v>
      </c>
      <c r="H828" t="s">
        <v>14</v>
      </c>
      <c r="I828" t="s">
        <v>14</v>
      </c>
      <c r="J828" t="s">
        <v>14</v>
      </c>
    </row>
    <row r="829" spans="1:10" x14ac:dyDescent="0.35">
      <c r="A829" t="s">
        <v>10</v>
      </c>
      <c r="B829" t="s">
        <v>18</v>
      </c>
      <c r="C829" t="s">
        <v>24</v>
      </c>
      <c r="D829">
        <v>2019</v>
      </c>
      <c r="E829">
        <v>99.67</v>
      </c>
      <c r="F829">
        <v>98.33</v>
      </c>
      <c r="G829">
        <v>0.50450799999999996</v>
      </c>
      <c r="H829">
        <v>5.61</v>
      </c>
      <c r="I829">
        <v>300</v>
      </c>
      <c r="J829">
        <v>4.5599999999999996</v>
      </c>
    </row>
    <row r="830" spans="1:10" x14ac:dyDescent="0.35">
      <c r="A830" t="s">
        <v>10</v>
      </c>
      <c r="B830" t="s">
        <v>18</v>
      </c>
      <c r="C830" t="s">
        <v>24</v>
      </c>
      <c r="D830">
        <v>2020</v>
      </c>
      <c r="E830">
        <v>99.67</v>
      </c>
      <c r="F830">
        <v>99.33</v>
      </c>
      <c r="G830">
        <v>0.51443799999999995</v>
      </c>
      <c r="H830">
        <v>3.75</v>
      </c>
      <c r="I830">
        <v>300</v>
      </c>
      <c r="J830" t="s">
        <v>14</v>
      </c>
    </row>
    <row r="831" spans="1:10" x14ac:dyDescent="0.35">
      <c r="A831" t="s">
        <v>28</v>
      </c>
      <c r="B831" t="s">
        <v>35</v>
      </c>
      <c r="C831" t="s">
        <v>36</v>
      </c>
      <c r="D831">
        <v>2015</v>
      </c>
      <c r="E831">
        <v>99.67</v>
      </c>
      <c r="F831">
        <v>96</v>
      </c>
      <c r="G831">
        <v>0.42143700000000001</v>
      </c>
      <c r="H831">
        <v>12.93</v>
      </c>
      <c r="I831">
        <v>5270</v>
      </c>
      <c r="J831" t="s">
        <v>14</v>
      </c>
    </row>
    <row r="832" spans="1:10" x14ac:dyDescent="0.35">
      <c r="A832" t="s">
        <v>47</v>
      </c>
      <c r="B832" t="s">
        <v>48</v>
      </c>
      <c r="C832" t="s">
        <v>53</v>
      </c>
      <c r="D832">
        <v>2017</v>
      </c>
      <c r="E832">
        <v>99.67</v>
      </c>
      <c r="F832">
        <v>99.67</v>
      </c>
      <c r="G832" t="s">
        <v>14</v>
      </c>
      <c r="H832" t="s">
        <v>14</v>
      </c>
      <c r="I832" t="s">
        <v>14</v>
      </c>
      <c r="J832" t="s">
        <v>14</v>
      </c>
    </row>
    <row r="833" spans="1:10" x14ac:dyDescent="0.35">
      <c r="A833" t="s">
        <v>47</v>
      </c>
      <c r="B833" t="s">
        <v>48</v>
      </c>
      <c r="C833" t="s">
        <v>53</v>
      </c>
      <c r="D833">
        <v>2018</v>
      </c>
      <c r="E833">
        <v>99.67</v>
      </c>
      <c r="F833">
        <v>99.67</v>
      </c>
      <c r="G833" t="s">
        <v>14</v>
      </c>
      <c r="H833" t="s">
        <v>14</v>
      </c>
      <c r="I833" t="s">
        <v>14</v>
      </c>
      <c r="J833" t="s">
        <v>14</v>
      </c>
    </row>
    <row r="834" spans="1:10" x14ac:dyDescent="0.35">
      <c r="A834" t="s">
        <v>47</v>
      </c>
      <c r="B834" t="s">
        <v>48</v>
      </c>
      <c r="C834" t="s">
        <v>53</v>
      </c>
      <c r="D834">
        <v>2019</v>
      </c>
      <c r="E834">
        <v>99.67</v>
      </c>
      <c r="F834">
        <v>99.67</v>
      </c>
      <c r="G834" t="s">
        <v>14</v>
      </c>
      <c r="H834" t="s">
        <v>14</v>
      </c>
      <c r="I834" t="s">
        <v>14</v>
      </c>
      <c r="J834" t="s">
        <v>14</v>
      </c>
    </row>
    <row r="835" spans="1:10" x14ac:dyDescent="0.35">
      <c r="A835" t="s">
        <v>54</v>
      </c>
      <c r="B835" t="s">
        <v>83</v>
      </c>
      <c r="C835" t="s">
        <v>85</v>
      </c>
      <c r="D835">
        <v>2016</v>
      </c>
      <c r="E835">
        <v>99.67</v>
      </c>
      <c r="F835">
        <v>96.67</v>
      </c>
      <c r="G835">
        <v>4.9452049999999996</v>
      </c>
      <c r="H835">
        <v>58.85</v>
      </c>
      <c r="I835">
        <v>51060</v>
      </c>
      <c r="J835">
        <v>8.09</v>
      </c>
    </row>
    <row r="836" spans="1:10" x14ac:dyDescent="0.35">
      <c r="A836" t="s">
        <v>54</v>
      </c>
      <c r="B836" t="s">
        <v>92</v>
      </c>
      <c r="C836" t="s">
        <v>96</v>
      </c>
      <c r="D836">
        <v>2016</v>
      </c>
      <c r="E836">
        <v>99.67</v>
      </c>
      <c r="F836">
        <v>99.67</v>
      </c>
      <c r="G836">
        <v>18.083879</v>
      </c>
      <c r="H836">
        <v>249.3</v>
      </c>
      <c r="I836">
        <v>743532</v>
      </c>
      <c r="J836">
        <v>6.73</v>
      </c>
    </row>
    <row r="837" spans="1:10" x14ac:dyDescent="0.35">
      <c r="A837" t="s">
        <v>54</v>
      </c>
      <c r="B837" t="s">
        <v>92</v>
      </c>
      <c r="C837" t="s">
        <v>102</v>
      </c>
      <c r="D837">
        <v>2018</v>
      </c>
      <c r="E837">
        <v>99.67</v>
      </c>
      <c r="F837">
        <v>90</v>
      </c>
      <c r="G837">
        <v>6.4433280000000002</v>
      </c>
      <c r="H837">
        <v>40.229999999999997</v>
      </c>
      <c r="I837">
        <v>397300</v>
      </c>
      <c r="J837">
        <v>6.22</v>
      </c>
    </row>
    <row r="838" spans="1:10" x14ac:dyDescent="0.35">
      <c r="A838" t="s">
        <v>54</v>
      </c>
      <c r="B838" t="s">
        <v>92</v>
      </c>
      <c r="C838" t="s">
        <v>102</v>
      </c>
      <c r="D838">
        <v>2019</v>
      </c>
      <c r="E838">
        <v>99.67</v>
      </c>
      <c r="F838">
        <v>91.33</v>
      </c>
      <c r="G838">
        <v>6.5300260000000003</v>
      </c>
      <c r="H838">
        <v>37.93</v>
      </c>
      <c r="I838">
        <v>397300</v>
      </c>
      <c r="J838">
        <v>6.59</v>
      </c>
    </row>
    <row r="839" spans="1:10" x14ac:dyDescent="0.35">
      <c r="A839" t="s">
        <v>54</v>
      </c>
      <c r="B839" t="s">
        <v>92</v>
      </c>
      <c r="C839" t="s">
        <v>102</v>
      </c>
      <c r="D839">
        <v>2020</v>
      </c>
      <c r="E839">
        <v>99.67</v>
      </c>
      <c r="F839">
        <v>92</v>
      </c>
      <c r="G839">
        <v>6.6186949999999998</v>
      </c>
      <c r="H839">
        <v>35.43</v>
      </c>
      <c r="I839">
        <v>397300</v>
      </c>
      <c r="J839">
        <v>7.55</v>
      </c>
    </row>
    <row r="840" spans="1:10" x14ac:dyDescent="0.35">
      <c r="A840" t="s">
        <v>107</v>
      </c>
      <c r="B840" t="s">
        <v>115</v>
      </c>
      <c r="C840" t="s">
        <v>116</v>
      </c>
      <c r="D840">
        <v>2015</v>
      </c>
      <c r="E840">
        <v>99.67</v>
      </c>
      <c r="F840">
        <v>91.33</v>
      </c>
      <c r="G840">
        <v>2.8785949999999998</v>
      </c>
      <c r="H840">
        <v>10.55</v>
      </c>
      <c r="I840">
        <v>28470</v>
      </c>
      <c r="J840">
        <v>18.260000000000002</v>
      </c>
    </row>
    <row r="841" spans="1:10" x14ac:dyDescent="0.35">
      <c r="A841" t="s">
        <v>107</v>
      </c>
      <c r="B841" t="s">
        <v>115</v>
      </c>
      <c r="C841" t="s">
        <v>116</v>
      </c>
      <c r="D841">
        <v>2016</v>
      </c>
      <c r="E841">
        <v>99.67</v>
      </c>
      <c r="F841">
        <v>91.67</v>
      </c>
      <c r="G841">
        <v>2.8658350000000001</v>
      </c>
      <c r="H841">
        <v>10.55</v>
      </c>
      <c r="I841">
        <v>28470</v>
      </c>
      <c r="J841">
        <v>17.62</v>
      </c>
    </row>
    <row r="842" spans="1:10" x14ac:dyDescent="0.35">
      <c r="A842" t="s">
        <v>10</v>
      </c>
      <c r="B842" t="s">
        <v>11</v>
      </c>
      <c r="C842" t="s">
        <v>16</v>
      </c>
      <c r="D842">
        <v>2019</v>
      </c>
      <c r="E842">
        <v>100</v>
      </c>
      <c r="F842">
        <v>99.33</v>
      </c>
      <c r="G842">
        <v>6.1584199999999996</v>
      </c>
      <c r="H842">
        <v>45.23</v>
      </c>
      <c r="I842">
        <v>469930</v>
      </c>
      <c r="J842" t="s">
        <v>14</v>
      </c>
    </row>
    <row r="843" spans="1:10" x14ac:dyDescent="0.35">
      <c r="A843" t="s">
        <v>10</v>
      </c>
      <c r="B843" t="s">
        <v>11</v>
      </c>
      <c r="C843" t="s">
        <v>16</v>
      </c>
      <c r="D843">
        <v>2020</v>
      </c>
      <c r="E843">
        <v>100</v>
      </c>
      <c r="F843">
        <v>99.33</v>
      </c>
      <c r="G843">
        <v>6.2504379999999999</v>
      </c>
      <c r="H843" t="s">
        <v>14</v>
      </c>
      <c r="I843">
        <v>469930</v>
      </c>
      <c r="J843" t="s">
        <v>14</v>
      </c>
    </row>
    <row r="844" spans="1:10" x14ac:dyDescent="0.35">
      <c r="A844" t="s">
        <v>28</v>
      </c>
      <c r="B844" t="s">
        <v>29</v>
      </c>
      <c r="C844" t="s">
        <v>34</v>
      </c>
      <c r="D844">
        <v>2016</v>
      </c>
      <c r="E844">
        <v>100</v>
      </c>
      <c r="F844">
        <v>100</v>
      </c>
      <c r="G844" t="s">
        <v>14</v>
      </c>
      <c r="H844" t="s">
        <v>14</v>
      </c>
      <c r="I844" t="s">
        <v>14</v>
      </c>
      <c r="J844" t="s">
        <v>14</v>
      </c>
    </row>
    <row r="845" spans="1:10" x14ac:dyDescent="0.35">
      <c r="A845" t="s">
        <v>28</v>
      </c>
      <c r="B845" t="s">
        <v>29</v>
      </c>
      <c r="C845" t="s">
        <v>34</v>
      </c>
      <c r="D845">
        <v>2017</v>
      </c>
      <c r="E845">
        <v>100</v>
      </c>
      <c r="F845">
        <v>100</v>
      </c>
      <c r="G845" t="s">
        <v>14</v>
      </c>
      <c r="H845" t="s">
        <v>14</v>
      </c>
      <c r="I845" t="s">
        <v>14</v>
      </c>
      <c r="J845" t="s">
        <v>14</v>
      </c>
    </row>
    <row r="846" spans="1:10" x14ac:dyDescent="0.35">
      <c r="A846" t="s">
        <v>28</v>
      </c>
      <c r="B846" t="s">
        <v>29</v>
      </c>
      <c r="C846" t="s">
        <v>34</v>
      </c>
      <c r="D846">
        <v>2018</v>
      </c>
      <c r="E846">
        <v>100</v>
      </c>
      <c r="F846">
        <v>100</v>
      </c>
      <c r="G846" t="s">
        <v>14</v>
      </c>
      <c r="H846" t="s">
        <v>14</v>
      </c>
      <c r="I846" t="s">
        <v>14</v>
      </c>
      <c r="J846" t="s">
        <v>14</v>
      </c>
    </row>
    <row r="847" spans="1:10" x14ac:dyDescent="0.35">
      <c r="A847" t="s">
        <v>28</v>
      </c>
      <c r="B847" t="s">
        <v>29</v>
      </c>
      <c r="C847" t="s">
        <v>34</v>
      </c>
      <c r="D847">
        <v>2019</v>
      </c>
      <c r="E847">
        <v>100</v>
      </c>
      <c r="F847">
        <v>100</v>
      </c>
      <c r="G847" t="s">
        <v>14</v>
      </c>
      <c r="H847" t="s">
        <v>14</v>
      </c>
      <c r="I847" t="s">
        <v>14</v>
      </c>
      <c r="J847" t="s">
        <v>14</v>
      </c>
    </row>
    <row r="848" spans="1:10" x14ac:dyDescent="0.35">
      <c r="A848" t="s">
        <v>28</v>
      </c>
      <c r="B848" t="s">
        <v>29</v>
      </c>
      <c r="C848" t="s">
        <v>34</v>
      </c>
      <c r="D848">
        <v>2020</v>
      </c>
      <c r="E848">
        <v>100</v>
      </c>
      <c r="F848">
        <v>100</v>
      </c>
      <c r="G848" t="s">
        <v>14</v>
      </c>
      <c r="H848" t="s">
        <v>14</v>
      </c>
      <c r="I848" t="s">
        <v>14</v>
      </c>
      <c r="J848" t="s">
        <v>14</v>
      </c>
    </row>
    <row r="849" spans="1:10" x14ac:dyDescent="0.35">
      <c r="A849" t="s">
        <v>28</v>
      </c>
      <c r="B849" t="s">
        <v>35</v>
      </c>
      <c r="C849" t="s">
        <v>36</v>
      </c>
      <c r="D849">
        <v>2016</v>
      </c>
      <c r="E849">
        <v>100</v>
      </c>
      <c r="F849" t="s">
        <v>14</v>
      </c>
      <c r="G849">
        <v>0.42599399999999998</v>
      </c>
      <c r="H849">
        <v>11.4</v>
      </c>
      <c r="I849">
        <v>5270</v>
      </c>
      <c r="J849" t="s">
        <v>14</v>
      </c>
    </row>
    <row r="850" spans="1:10" x14ac:dyDescent="0.35">
      <c r="A850" t="s">
        <v>28</v>
      </c>
      <c r="B850" t="s">
        <v>35</v>
      </c>
      <c r="C850" t="s">
        <v>36</v>
      </c>
      <c r="D850">
        <v>2017</v>
      </c>
      <c r="E850">
        <v>100</v>
      </c>
      <c r="F850" t="s">
        <v>14</v>
      </c>
      <c r="G850">
        <v>0.43027599999999999</v>
      </c>
      <c r="H850">
        <v>12.13</v>
      </c>
      <c r="I850">
        <v>5270</v>
      </c>
      <c r="J850">
        <v>9.32</v>
      </c>
    </row>
    <row r="851" spans="1:10" x14ac:dyDescent="0.35">
      <c r="A851" t="s">
        <v>28</v>
      </c>
      <c r="B851" t="s">
        <v>35</v>
      </c>
      <c r="C851" t="s">
        <v>36</v>
      </c>
      <c r="D851">
        <v>2018</v>
      </c>
      <c r="E851">
        <v>100</v>
      </c>
      <c r="F851" t="s">
        <v>14</v>
      </c>
      <c r="G851">
        <v>0.43427399999999999</v>
      </c>
      <c r="H851">
        <v>13.57</v>
      </c>
      <c r="I851">
        <v>5270</v>
      </c>
      <c r="J851">
        <v>8.6999999999999993</v>
      </c>
    </row>
    <row r="852" spans="1:10" x14ac:dyDescent="0.35">
      <c r="A852" t="s">
        <v>28</v>
      </c>
      <c r="B852" t="s">
        <v>35</v>
      </c>
      <c r="C852" t="s">
        <v>36</v>
      </c>
      <c r="D852">
        <v>2019</v>
      </c>
      <c r="E852">
        <v>100</v>
      </c>
      <c r="F852" t="s">
        <v>14</v>
      </c>
      <c r="G852">
        <v>0.43804799999999999</v>
      </c>
      <c r="H852">
        <v>13.47</v>
      </c>
      <c r="I852">
        <v>5270</v>
      </c>
      <c r="J852">
        <v>6.6</v>
      </c>
    </row>
    <row r="853" spans="1:10" x14ac:dyDescent="0.35">
      <c r="A853" t="s">
        <v>28</v>
      </c>
      <c r="B853" t="s">
        <v>35</v>
      </c>
      <c r="C853" t="s">
        <v>36</v>
      </c>
      <c r="D853">
        <v>2020</v>
      </c>
      <c r="E853">
        <v>100</v>
      </c>
      <c r="F853" t="s">
        <v>14</v>
      </c>
      <c r="G853">
        <v>0.44172499999999998</v>
      </c>
      <c r="H853">
        <v>12.01</v>
      </c>
      <c r="I853">
        <v>5270</v>
      </c>
      <c r="J853">
        <v>7.41</v>
      </c>
    </row>
    <row r="854" spans="1:10" x14ac:dyDescent="0.35">
      <c r="A854" t="s">
        <v>28</v>
      </c>
      <c r="B854" t="s">
        <v>35</v>
      </c>
      <c r="C854" t="s">
        <v>43</v>
      </c>
      <c r="D854">
        <v>2015</v>
      </c>
      <c r="E854">
        <v>100</v>
      </c>
      <c r="F854">
        <v>100</v>
      </c>
      <c r="G854">
        <v>5.5350020000000004</v>
      </c>
      <c r="H854">
        <v>308</v>
      </c>
      <c r="I854">
        <v>709</v>
      </c>
      <c r="J854">
        <v>3.79</v>
      </c>
    </row>
    <row r="855" spans="1:10" x14ac:dyDescent="0.35">
      <c r="A855" t="s">
        <v>28</v>
      </c>
      <c r="B855" t="s">
        <v>35</v>
      </c>
      <c r="C855" t="s">
        <v>43</v>
      </c>
      <c r="D855">
        <v>2016</v>
      </c>
      <c r="E855">
        <v>100</v>
      </c>
      <c r="F855">
        <v>100</v>
      </c>
      <c r="G855">
        <v>5.6072829999999998</v>
      </c>
      <c r="H855">
        <v>318.83</v>
      </c>
      <c r="I855">
        <v>709</v>
      </c>
      <c r="J855">
        <v>4.08</v>
      </c>
    </row>
    <row r="856" spans="1:10" x14ac:dyDescent="0.35">
      <c r="A856" t="s">
        <v>28</v>
      </c>
      <c r="B856" t="s">
        <v>35</v>
      </c>
      <c r="C856" t="s">
        <v>43</v>
      </c>
      <c r="D856">
        <v>2017</v>
      </c>
      <c r="E856">
        <v>100</v>
      </c>
      <c r="F856">
        <v>100</v>
      </c>
      <c r="G856">
        <v>5.6122529999999999</v>
      </c>
      <c r="H856">
        <v>343.19</v>
      </c>
      <c r="I856">
        <v>712</v>
      </c>
      <c r="J856">
        <v>4.2</v>
      </c>
    </row>
    <row r="857" spans="1:10" x14ac:dyDescent="0.35">
      <c r="A857" t="s">
        <v>28</v>
      </c>
      <c r="B857" t="s">
        <v>35</v>
      </c>
      <c r="C857" t="s">
        <v>43</v>
      </c>
      <c r="D857">
        <v>2018</v>
      </c>
      <c r="E857">
        <v>100</v>
      </c>
      <c r="F857">
        <v>100</v>
      </c>
      <c r="G857">
        <v>5.6386760000000002</v>
      </c>
      <c r="H857">
        <v>377</v>
      </c>
      <c r="I857">
        <v>714</v>
      </c>
      <c r="J857" t="s">
        <v>14</v>
      </c>
    </row>
    <row r="858" spans="1:10" x14ac:dyDescent="0.35">
      <c r="A858" t="s">
        <v>28</v>
      </c>
      <c r="B858" t="s">
        <v>35</v>
      </c>
      <c r="C858" t="s">
        <v>43</v>
      </c>
      <c r="D858">
        <v>2019</v>
      </c>
      <c r="E858">
        <v>100</v>
      </c>
      <c r="F858">
        <v>100</v>
      </c>
      <c r="G858">
        <v>5.7035689999999999</v>
      </c>
      <c r="H858">
        <v>375.47</v>
      </c>
      <c r="I858">
        <v>716</v>
      </c>
      <c r="J858">
        <v>3.1</v>
      </c>
    </row>
    <row r="859" spans="1:10" x14ac:dyDescent="0.35">
      <c r="A859" t="s">
        <v>28</v>
      </c>
      <c r="B859" t="s">
        <v>35</v>
      </c>
      <c r="C859" t="s">
        <v>43</v>
      </c>
      <c r="D859">
        <v>2020</v>
      </c>
      <c r="E859">
        <v>100</v>
      </c>
      <c r="F859">
        <v>100</v>
      </c>
      <c r="G859">
        <v>5.6858069999999996</v>
      </c>
      <c r="H859">
        <v>345.3</v>
      </c>
      <c r="I859">
        <v>718</v>
      </c>
      <c r="J859">
        <v>4.0999999999999996</v>
      </c>
    </row>
    <row r="860" spans="1:10" x14ac:dyDescent="0.35">
      <c r="A860" t="s">
        <v>28</v>
      </c>
      <c r="B860" t="s">
        <v>35</v>
      </c>
      <c r="C860" t="s">
        <v>44</v>
      </c>
      <c r="D860">
        <v>2017</v>
      </c>
      <c r="E860">
        <v>100</v>
      </c>
      <c r="F860">
        <v>98</v>
      </c>
      <c r="G860">
        <v>70.898201999999998</v>
      </c>
      <c r="H860">
        <v>456.36</v>
      </c>
      <c r="I860">
        <v>510890</v>
      </c>
      <c r="J860">
        <v>0.83</v>
      </c>
    </row>
    <row r="861" spans="1:10" x14ac:dyDescent="0.35">
      <c r="A861" t="s">
        <v>28</v>
      </c>
      <c r="B861" t="s">
        <v>35</v>
      </c>
      <c r="C861" t="s">
        <v>44</v>
      </c>
      <c r="D861">
        <v>2018</v>
      </c>
      <c r="E861">
        <v>100</v>
      </c>
      <c r="F861">
        <v>98</v>
      </c>
      <c r="G861">
        <v>71.127802000000003</v>
      </c>
      <c r="H861">
        <v>506.75</v>
      </c>
      <c r="I861">
        <v>510890</v>
      </c>
      <c r="J861">
        <v>0.77</v>
      </c>
    </row>
    <row r="862" spans="1:10" x14ac:dyDescent="0.35">
      <c r="A862" t="s">
        <v>28</v>
      </c>
      <c r="B862" t="s">
        <v>35</v>
      </c>
      <c r="C862" t="s">
        <v>44</v>
      </c>
      <c r="D862">
        <v>2019</v>
      </c>
      <c r="E862">
        <v>100</v>
      </c>
      <c r="F862">
        <v>98.33</v>
      </c>
      <c r="G862">
        <v>71.307762999999994</v>
      </c>
      <c r="H862">
        <v>544.08000000000004</v>
      </c>
      <c r="I862">
        <v>510890</v>
      </c>
      <c r="J862">
        <v>0.72</v>
      </c>
    </row>
    <row r="863" spans="1:10" x14ac:dyDescent="0.35">
      <c r="A863" t="s">
        <v>28</v>
      </c>
      <c r="B863" t="s">
        <v>35</v>
      </c>
      <c r="C863" t="s">
        <v>44</v>
      </c>
      <c r="D863">
        <v>2020</v>
      </c>
      <c r="E863">
        <v>100</v>
      </c>
      <c r="F863">
        <v>98.67</v>
      </c>
      <c r="G863">
        <v>71.475663999999995</v>
      </c>
      <c r="H863">
        <v>499.68</v>
      </c>
      <c r="I863">
        <v>510890</v>
      </c>
      <c r="J863">
        <v>1.1000000000000001</v>
      </c>
    </row>
    <row r="864" spans="1:10" x14ac:dyDescent="0.35">
      <c r="A864" t="s">
        <v>47</v>
      </c>
      <c r="B864" t="s">
        <v>48</v>
      </c>
      <c r="C864" t="s">
        <v>49</v>
      </c>
      <c r="D864">
        <v>2015</v>
      </c>
      <c r="E864">
        <v>100</v>
      </c>
      <c r="F864">
        <v>100</v>
      </c>
      <c r="G864">
        <v>6.5237000000000003E-2</v>
      </c>
      <c r="H864">
        <v>6.65</v>
      </c>
      <c r="I864">
        <v>54</v>
      </c>
      <c r="J864" t="s">
        <v>14</v>
      </c>
    </row>
    <row r="865" spans="1:10" x14ac:dyDescent="0.35">
      <c r="A865" t="s">
        <v>47</v>
      </c>
      <c r="B865" t="s">
        <v>48</v>
      </c>
      <c r="C865" t="s">
        <v>49</v>
      </c>
      <c r="D865">
        <v>2016</v>
      </c>
      <c r="E865">
        <v>100</v>
      </c>
      <c r="F865">
        <v>100</v>
      </c>
      <c r="G865">
        <v>6.4554E-2</v>
      </c>
      <c r="H865">
        <v>6.9</v>
      </c>
      <c r="I865">
        <v>54</v>
      </c>
      <c r="J865" t="s">
        <v>14</v>
      </c>
    </row>
    <row r="866" spans="1:10" x14ac:dyDescent="0.35">
      <c r="A866" t="s">
        <v>47</v>
      </c>
      <c r="B866" t="s">
        <v>48</v>
      </c>
      <c r="C866" t="s">
        <v>49</v>
      </c>
      <c r="D866">
        <v>2017</v>
      </c>
      <c r="E866">
        <v>100</v>
      </c>
      <c r="F866">
        <v>100</v>
      </c>
      <c r="G866">
        <v>6.3872999999999999E-2</v>
      </c>
      <c r="H866">
        <v>7.14</v>
      </c>
      <c r="I866">
        <v>54</v>
      </c>
      <c r="J866" t="s">
        <v>14</v>
      </c>
    </row>
    <row r="867" spans="1:10" x14ac:dyDescent="0.35">
      <c r="A867" t="s">
        <v>47</v>
      </c>
      <c r="B867" t="s">
        <v>48</v>
      </c>
      <c r="C867" t="s">
        <v>49</v>
      </c>
      <c r="D867">
        <v>2018</v>
      </c>
      <c r="E867">
        <v>100</v>
      </c>
      <c r="F867">
        <v>100</v>
      </c>
      <c r="G867">
        <v>6.3918000000000003E-2</v>
      </c>
      <c r="H867">
        <v>7.23</v>
      </c>
      <c r="I867">
        <v>54</v>
      </c>
      <c r="J867" t="s">
        <v>14</v>
      </c>
    </row>
    <row r="868" spans="1:10" x14ac:dyDescent="0.35">
      <c r="A868" t="s">
        <v>47</v>
      </c>
      <c r="B868" t="s">
        <v>48</v>
      </c>
      <c r="C868" t="s">
        <v>49</v>
      </c>
      <c r="D868">
        <v>2019</v>
      </c>
      <c r="E868">
        <v>100</v>
      </c>
      <c r="F868">
        <v>100</v>
      </c>
      <c r="G868">
        <v>6.3910999999999996E-2</v>
      </c>
      <c r="H868">
        <v>7.42</v>
      </c>
      <c r="I868">
        <v>54</v>
      </c>
      <c r="J868" t="s">
        <v>14</v>
      </c>
    </row>
    <row r="869" spans="1:10" x14ac:dyDescent="0.35">
      <c r="A869" t="s">
        <v>47</v>
      </c>
      <c r="B869" t="s">
        <v>48</v>
      </c>
      <c r="C869" t="s">
        <v>49</v>
      </c>
      <c r="D869">
        <v>2020</v>
      </c>
      <c r="E869">
        <v>100</v>
      </c>
      <c r="F869">
        <v>100</v>
      </c>
      <c r="G869">
        <v>6.3893000000000005E-2</v>
      </c>
      <c r="H869">
        <v>6.89</v>
      </c>
      <c r="I869">
        <v>54</v>
      </c>
      <c r="J869" t="s">
        <v>14</v>
      </c>
    </row>
    <row r="870" spans="1:10" x14ac:dyDescent="0.35">
      <c r="A870" t="s">
        <v>47</v>
      </c>
      <c r="B870" t="s">
        <v>48</v>
      </c>
      <c r="C870" t="s">
        <v>51</v>
      </c>
      <c r="D870">
        <v>2015</v>
      </c>
      <c r="E870">
        <v>100</v>
      </c>
      <c r="F870">
        <v>100</v>
      </c>
      <c r="G870">
        <v>5.6113999999999997E-2</v>
      </c>
      <c r="H870">
        <v>2.5</v>
      </c>
      <c r="I870">
        <v>410450</v>
      </c>
      <c r="J870">
        <v>9.1</v>
      </c>
    </row>
    <row r="871" spans="1:10" x14ac:dyDescent="0.35">
      <c r="A871" t="s">
        <v>47</v>
      </c>
      <c r="B871" t="s">
        <v>48</v>
      </c>
      <c r="C871" t="s">
        <v>51</v>
      </c>
      <c r="D871">
        <v>2016</v>
      </c>
      <c r="E871">
        <v>100</v>
      </c>
      <c r="F871">
        <v>100</v>
      </c>
      <c r="G871">
        <v>5.6186E-2</v>
      </c>
      <c r="H871">
        <v>2.71</v>
      </c>
      <c r="I871">
        <v>410450</v>
      </c>
      <c r="J871" t="s">
        <v>14</v>
      </c>
    </row>
    <row r="872" spans="1:10" x14ac:dyDescent="0.35">
      <c r="A872" t="s">
        <v>47</v>
      </c>
      <c r="B872" t="s">
        <v>48</v>
      </c>
      <c r="C872" t="s">
        <v>51</v>
      </c>
      <c r="D872">
        <v>2017</v>
      </c>
      <c r="E872">
        <v>100</v>
      </c>
      <c r="F872">
        <v>100</v>
      </c>
      <c r="G872">
        <v>5.6170999999999999E-2</v>
      </c>
      <c r="H872">
        <v>2.85</v>
      </c>
      <c r="I872">
        <v>410450</v>
      </c>
      <c r="J872" t="s">
        <v>14</v>
      </c>
    </row>
    <row r="873" spans="1:10" x14ac:dyDescent="0.35">
      <c r="A873" t="s">
        <v>47</v>
      </c>
      <c r="B873" t="s">
        <v>48</v>
      </c>
      <c r="C873" t="s">
        <v>51</v>
      </c>
      <c r="D873">
        <v>2018</v>
      </c>
      <c r="E873">
        <v>100</v>
      </c>
      <c r="F873">
        <v>100</v>
      </c>
      <c r="G873">
        <v>5.6023000000000003E-2</v>
      </c>
      <c r="H873">
        <v>3.06</v>
      </c>
      <c r="I873">
        <v>410450</v>
      </c>
      <c r="J873" t="s">
        <v>14</v>
      </c>
    </row>
    <row r="874" spans="1:10" x14ac:dyDescent="0.35">
      <c r="A874" t="s">
        <v>47</v>
      </c>
      <c r="B874" t="s">
        <v>48</v>
      </c>
      <c r="C874" t="s">
        <v>51</v>
      </c>
      <c r="D874">
        <v>2019</v>
      </c>
      <c r="E874">
        <v>100</v>
      </c>
      <c r="F874">
        <v>100</v>
      </c>
      <c r="G874">
        <v>5.6224999999999997E-2</v>
      </c>
      <c r="H874">
        <v>2.99</v>
      </c>
      <c r="I874">
        <v>410450</v>
      </c>
      <c r="J874" t="s">
        <v>14</v>
      </c>
    </row>
    <row r="875" spans="1:10" x14ac:dyDescent="0.35">
      <c r="A875" t="s">
        <v>47</v>
      </c>
      <c r="B875" t="s">
        <v>48</v>
      </c>
      <c r="C875" t="s">
        <v>51</v>
      </c>
      <c r="D875">
        <v>2020</v>
      </c>
      <c r="E875">
        <v>100</v>
      </c>
      <c r="F875">
        <v>100</v>
      </c>
      <c r="G875">
        <v>5.6367E-2</v>
      </c>
      <c r="H875">
        <v>3.08</v>
      </c>
      <c r="I875">
        <v>410450</v>
      </c>
      <c r="J875" t="s">
        <v>14</v>
      </c>
    </row>
    <row r="876" spans="1:10" x14ac:dyDescent="0.35">
      <c r="A876" t="s">
        <v>47</v>
      </c>
      <c r="B876" t="s">
        <v>48</v>
      </c>
      <c r="C876" t="s">
        <v>53</v>
      </c>
      <c r="D876">
        <v>2020</v>
      </c>
      <c r="E876">
        <v>100</v>
      </c>
      <c r="F876">
        <v>99.67</v>
      </c>
      <c r="G876" t="s">
        <v>14</v>
      </c>
      <c r="H876" t="s">
        <v>14</v>
      </c>
      <c r="I876" t="s">
        <v>14</v>
      </c>
      <c r="J876" t="s">
        <v>14</v>
      </c>
    </row>
    <row r="877" spans="1:10" x14ac:dyDescent="0.35">
      <c r="A877" t="s">
        <v>54</v>
      </c>
      <c r="B877" t="s">
        <v>55</v>
      </c>
      <c r="C877" t="s">
        <v>61</v>
      </c>
      <c r="D877">
        <v>2015</v>
      </c>
      <c r="E877">
        <v>100</v>
      </c>
      <c r="F877">
        <v>97</v>
      </c>
      <c r="G877">
        <v>2.9366E-2</v>
      </c>
      <c r="H877" t="s">
        <v>14</v>
      </c>
      <c r="I877">
        <v>150</v>
      </c>
      <c r="J877" t="s">
        <v>14</v>
      </c>
    </row>
    <row r="878" spans="1:10" x14ac:dyDescent="0.35">
      <c r="A878" t="s">
        <v>54</v>
      </c>
      <c r="B878" t="s">
        <v>55</v>
      </c>
      <c r="C878" t="s">
        <v>61</v>
      </c>
      <c r="D878">
        <v>2016</v>
      </c>
      <c r="E878">
        <v>100</v>
      </c>
      <c r="F878">
        <v>97</v>
      </c>
      <c r="G878">
        <v>2.9739000000000002E-2</v>
      </c>
      <c r="H878" t="s">
        <v>14</v>
      </c>
      <c r="I878">
        <v>150</v>
      </c>
      <c r="J878" t="s">
        <v>14</v>
      </c>
    </row>
    <row r="879" spans="1:10" x14ac:dyDescent="0.35">
      <c r="A879" t="s">
        <v>54</v>
      </c>
      <c r="B879" t="s">
        <v>55</v>
      </c>
      <c r="C879" t="s">
        <v>61</v>
      </c>
      <c r="D879">
        <v>2017</v>
      </c>
      <c r="E879">
        <v>100</v>
      </c>
      <c r="F879" t="s">
        <v>14</v>
      </c>
      <c r="G879">
        <v>3.006E-2</v>
      </c>
      <c r="H879" t="s">
        <v>14</v>
      </c>
      <c r="I879">
        <v>150</v>
      </c>
      <c r="J879" t="s">
        <v>14</v>
      </c>
    </row>
    <row r="880" spans="1:10" x14ac:dyDescent="0.35">
      <c r="A880" t="s">
        <v>54</v>
      </c>
      <c r="B880" t="s">
        <v>55</v>
      </c>
      <c r="C880" t="s">
        <v>61</v>
      </c>
      <c r="D880">
        <v>2018</v>
      </c>
      <c r="E880">
        <v>100</v>
      </c>
      <c r="F880" t="s">
        <v>14</v>
      </c>
      <c r="G880">
        <v>3.0335000000000001E-2</v>
      </c>
      <c r="H880" t="s">
        <v>14</v>
      </c>
      <c r="I880">
        <v>150</v>
      </c>
      <c r="J880" t="s">
        <v>14</v>
      </c>
    </row>
    <row r="881" spans="1:10" x14ac:dyDescent="0.35">
      <c r="A881" t="s">
        <v>54</v>
      </c>
      <c r="B881" t="s">
        <v>55</v>
      </c>
      <c r="C881" t="s">
        <v>61</v>
      </c>
      <c r="D881">
        <v>2019</v>
      </c>
      <c r="E881">
        <v>100</v>
      </c>
      <c r="F881" t="s">
        <v>14</v>
      </c>
      <c r="G881">
        <v>3.0609999999999998E-2</v>
      </c>
      <c r="H881" t="s">
        <v>14</v>
      </c>
      <c r="I881">
        <v>150</v>
      </c>
      <c r="J881" t="s">
        <v>14</v>
      </c>
    </row>
    <row r="882" spans="1:10" x14ac:dyDescent="0.35">
      <c r="A882" t="s">
        <v>54</v>
      </c>
      <c r="B882" t="s">
        <v>55</v>
      </c>
      <c r="C882" t="s">
        <v>61</v>
      </c>
      <c r="D882">
        <v>2020</v>
      </c>
      <c r="E882">
        <v>100</v>
      </c>
      <c r="F882" t="s">
        <v>14</v>
      </c>
      <c r="G882">
        <v>3.091E-2</v>
      </c>
      <c r="H882" t="s">
        <v>14</v>
      </c>
      <c r="I882">
        <v>150</v>
      </c>
      <c r="J882" t="s">
        <v>14</v>
      </c>
    </row>
    <row r="883" spans="1:10" x14ac:dyDescent="0.35">
      <c r="A883" t="s">
        <v>54</v>
      </c>
      <c r="B883" t="s">
        <v>55</v>
      </c>
      <c r="C883" t="s">
        <v>68</v>
      </c>
      <c r="D883">
        <v>2015</v>
      </c>
      <c r="E883">
        <v>100</v>
      </c>
      <c r="F883">
        <v>99</v>
      </c>
      <c r="G883" t="s">
        <v>14</v>
      </c>
      <c r="H883" t="s">
        <v>14</v>
      </c>
      <c r="I883" t="s">
        <v>14</v>
      </c>
      <c r="J883" t="s">
        <v>14</v>
      </c>
    </row>
    <row r="884" spans="1:10" x14ac:dyDescent="0.35">
      <c r="A884" t="s">
        <v>54</v>
      </c>
      <c r="B884" t="s">
        <v>55</v>
      </c>
      <c r="C884" t="s">
        <v>68</v>
      </c>
      <c r="D884">
        <v>2016</v>
      </c>
      <c r="E884">
        <v>100</v>
      </c>
      <c r="F884">
        <v>99</v>
      </c>
      <c r="G884" t="s">
        <v>14</v>
      </c>
      <c r="H884" t="s">
        <v>14</v>
      </c>
      <c r="I884" t="s">
        <v>14</v>
      </c>
      <c r="J884" t="s">
        <v>14</v>
      </c>
    </row>
    <row r="885" spans="1:10" x14ac:dyDescent="0.35">
      <c r="A885" t="s">
        <v>54</v>
      </c>
      <c r="B885" t="s">
        <v>55</v>
      </c>
      <c r="C885" t="s">
        <v>68</v>
      </c>
      <c r="D885">
        <v>2017</v>
      </c>
      <c r="E885">
        <v>100</v>
      </c>
      <c r="F885">
        <v>99</v>
      </c>
      <c r="G885" t="s">
        <v>14</v>
      </c>
      <c r="H885" t="s">
        <v>14</v>
      </c>
      <c r="I885" t="s">
        <v>14</v>
      </c>
      <c r="J885" t="s">
        <v>14</v>
      </c>
    </row>
    <row r="886" spans="1:10" x14ac:dyDescent="0.35">
      <c r="A886" t="s">
        <v>54</v>
      </c>
      <c r="B886" t="s">
        <v>55</v>
      </c>
      <c r="C886" t="s">
        <v>68</v>
      </c>
      <c r="D886">
        <v>2018</v>
      </c>
      <c r="E886">
        <v>100</v>
      </c>
      <c r="F886">
        <v>99</v>
      </c>
      <c r="G886" t="s">
        <v>14</v>
      </c>
      <c r="H886" t="s">
        <v>14</v>
      </c>
      <c r="I886" t="s">
        <v>14</v>
      </c>
      <c r="J886" t="s">
        <v>14</v>
      </c>
    </row>
    <row r="887" spans="1:10" x14ac:dyDescent="0.35">
      <c r="A887" t="s">
        <v>54</v>
      </c>
      <c r="B887" t="s">
        <v>55</v>
      </c>
      <c r="C887" t="s">
        <v>68</v>
      </c>
      <c r="D887">
        <v>2019</v>
      </c>
      <c r="E887">
        <v>100</v>
      </c>
      <c r="F887">
        <v>100</v>
      </c>
      <c r="G887" t="s">
        <v>14</v>
      </c>
      <c r="H887" t="s">
        <v>14</v>
      </c>
      <c r="I887" t="s">
        <v>14</v>
      </c>
      <c r="J887" t="s">
        <v>14</v>
      </c>
    </row>
    <row r="888" spans="1:10" x14ac:dyDescent="0.35">
      <c r="A888" t="s">
        <v>54</v>
      </c>
      <c r="B888" t="s">
        <v>55</v>
      </c>
      <c r="C888" t="s">
        <v>68</v>
      </c>
      <c r="D888">
        <v>2020</v>
      </c>
      <c r="E888">
        <v>100</v>
      </c>
      <c r="F888">
        <v>100</v>
      </c>
      <c r="G888" t="s">
        <v>14</v>
      </c>
      <c r="H888" t="s">
        <v>14</v>
      </c>
      <c r="I888" t="s">
        <v>14</v>
      </c>
      <c r="J888" t="s">
        <v>14</v>
      </c>
    </row>
    <row r="889" spans="1:10" x14ac:dyDescent="0.35">
      <c r="A889" t="s">
        <v>54</v>
      </c>
      <c r="B889" t="s">
        <v>55</v>
      </c>
      <c r="C889" t="s">
        <v>71</v>
      </c>
      <c r="D889">
        <v>2015</v>
      </c>
      <c r="E889">
        <v>100</v>
      </c>
      <c r="F889">
        <v>99</v>
      </c>
      <c r="G889" t="s">
        <v>14</v>
      </c>
      <c r="H889" t="s">
        <v>14</v>
      </c>
      <c r="I889" t="s">
        <v>14</v>
      </c>
      <c r="J889" t="s">
        <v>14</v>
      </c>
    </row>
    <row r="890" spans="1:10" x14ac:dyDescent="0.35">
      <c r="A890" t="s">
        <v>54</v>
      </c>
      <c r="B890" t="s">
        <v>55</v>
      </c>
      <c r="C890" t="s">
        <v>71</v>
      </c>
      <c r="D890">
        <v>2016</v>
      </c>
      <c r="E890">
        <v>100</v>
      </c>
      <c r="F890">
        <v>99</v>
      </c>
      <c r="G890" t="s">
        <v>14</v>
      </c>
      <c r="H890" t="s">
        <v>14</v>
      </c>
      <c r="I890" t="s">
        <v>14</v>
      </c>
      <c r="J890" t="s">
        <v>14</v>
      </c>
    </row>
    <row r="891" spans="1:10" x14ac:dyDescent="0.35">
      <c r="A891" t="s">
        <v>54</v>
      </c>
      <c r="B891" t="s">
        <v>55</v>
      </c>
      <c r="C891" t="s">
        <v>71</v>
      </c>
      <c r="D891">
        <v>2017</v>
      </c>
      <c r="E891">
        <v>100</v>
      </c>
      <c r="F891">
        <v>99</v>
      </c>
      <c r="G891" t="s">
        <v>14</v>
      </c>
      <c r="H891" t="s">
        <v>14</v>
      </c>
      <c r="I891" t="s">
        <v>14</v>
      </c>
      <c r="J891" t="s">
        <v>14</v>
      </c>
    </row>
    <row r="892" spans="1:10" x14ac:dyDescent="0.35">
      <c r="A892" t="s">
        <v>54</v>
      </c>
      <c r="B892" t="s">
        <v>55</v>
      </c>
      <c r="C892" t="s">
        <v>71</v>
      </c>
      <c r="D892">
        <v>2018</v>
      </c>
      <c r="E892">
        <v>100</v>
      </c>
      <c r="F892">
        <v>99</v>
      </c>
      <c r="G892" t="s">
        <v>14</v>
      </c>
      <c r="H892" t="s">
        <v>14</v>
      </c>
      <c r="I892" t="s">
        <v>14</v>
      </c>
      <c r="J892" t="s">
        <v>14</v>
      </c>
    </row>
    <row r="893" spans="1:10" x14ac:dyDescent="0.35">
      <c r="A893" t="s">
        <v>54</v>
      </c>
      <c r="B893" t="s">
        <v>55</v>
      </c>
      <c r="C893" t="s">
        <v>71</v>
      </c>
      <c r="D893">
        <v>2019</v>
      </c>
      <c r="E893">
        <v>100</v>
      </c>
      <c r="F893">
        <v>100</v>
      </c>
      <c r="G893" t="s">
        <v>14</v>
      </c>
      <c r="H893" t="s">
        <v>14</v>
      </c>
      <c r="I893" t="s">
        <v>14</v>
      </c>
      <c r="J893" t="s">
        <v>14</v>
      </c>
    </row>
    <row r="894" spans="1:10" x14ac:dyDescent="0.35">
      <c r="A894" t="s">
        <v>54</v>
      </c>
      <c r="B894" t="s">
        <v>55</v>
      </c>
      <c r="C894" t="s">
        <v>71</v>
      </c>
      <c r="D894">
        <v>2020</v>
      </c>
      <c r="E894">
        <v>100</v>
      </c>
      <c r="F894">
        <v>100</v>
      </c>
      <c r="G894" t="s">
        <v>14</v>
      </c>
      <c r="H894" t="s">
        <v>14</v>
      </c>
      <c r="I894" t="s">
        <v>14</v>
      </c>
      <c r="J894" t="s">
        <v>14</v>
      </c>
    </row>
    <row r="895" spans="1:10" x14ac:dyDescent="0.35">
      <c r="A895" t="s">
        <v>54</v>
      </c>
      <c r="B895" t="s">
        <v>55</v>
      </c>
      <c r="C895" t="s">
        <v>73</v>
      </c>
      <c r="D895">
        <v>2016</v>
      </c>
      <c r="E895">
        <v>100</v>
      </c>
      <c r="F895">
        <v>100</v>
      </c>
      <c r="G895">
        <v>3.4066719999999999</v>
      </c>
      <c r="H895">
        <v>104.34</v>
      </c>
      <c r="I895">
        <v>8870</v>
      </c>
      <c r="J895">
        <v>11.8</v>
      </c>
    </row>
    <row r="896" spans="1:10" x14ac:dyDescent="0.35">
      <c r="A896" t="s">
        <v>54</v>
      </c>
      <c r="B896" t="s">
        <v>55</v>
      </c>
      <c r="C896" t="s">
        <v>73</v>
      </c>
      <c r="D896">
        <v>2017</v>
      </c>
      <c r="E896">
        <v>100</v>
      </c>
      <c r="F896">
        <v>100</v>
      </c>
      <c r="G896">
        <v>3.3252860000000002</v>
      </c>
      <c r="H896">
        <v>103.45</v>
      </c>
      <c r="I896">
        <v>8870</v>
      </c>
      <c r="J896">
        <v>10.8</v>
      </c>
    </row>
    <row r="897" spans="1:10" x14ac:dyDescent="0.35">
      <c r="A897" t="s">
        <v>54</v>
      </c>
      <c r="B897" t="s">
        <v>55</v>
      </c>
      <c r="C897" t="s">
        <v>73</v>
      </c>
      <c r="D897">
        <v>2018</v>
      </c>
      <c r="E897">
        <v>100</v>
      </c>
      <c r="F897">
        <v>100</v>
      </c>
      <c r="G897">
        <v>3.1933539999999998</v>
      </c>
      <c r="H897">
        <v>100.96</v>
      </c>
      <c r="I897">
        <v>8870</v>
      </c>
      <c r="J897">
        <v>9.1999999999999993</v>
      </c>
    </row>
    <row r="898" spans="1:10" x14ac:dyDescent="0.35">
      <c r="A898" t="s">
        <v>54</v>
      </c>
      <c r="B898" t="s">
        <v>55</v>
      </c>
      <c r="C898" t="s">
        <v>73</v>
      </c>
      <c r="D898">
        <v>2019</v>
      </c>
      <c r="E898">
        <v>100</v>
      </c>
      <c r="F898">
        <v>100</v>
      </c>
      <c r="G898">
        <v>3.1936939999999998</v>
      </c>
      <c r="H898">
        <v>105.13</v>
      </c>
      <c r="I898">
        <v>8870</v>
      </c>
      <c r="J898">
        <v>8.3000000000000007</v>
      </c>
    </row>
    <row r="899" spans="1:10" x14ac:dyDescent="0.35">
      <c r="A899" t="s">
        <v>54</v>
      </c>
      <c r="B899" t="s">
        <v>55</v>
      </c>
      <c r="C899" t="s">
        <v>73</v>
      </c>
      <c r="D899">
        <v>2020</v>
      </c>
      <c r="E899">
        <v>100</v>
      </c>
      <c r="F899">
        <v>100</v>
      </c>
      <c r="G899">
        <v>3.2815379999999998</v>
      </c>
      <c r="H899">
        <v>103.02</v>
      </c>
      <c r="I899">
        <v>8870</v>
      </c>
      <c r="J899" t="s">
        <v>14</v>
      </c>
    </row>
    <row r="900" spans="1:10" x14ac:dyDescent="0.35">
      <c r="A900" t="s">
        <v>54</v>
      </c>
      <c r="B900" t="s">
        <v>55</v>
      </c>
      <c r="C900" t="s">
        <v>74</v>
      </c>
      <c r="D900">
        <v>2015</v>
      </c>
      <c r="E900">
        <v>100</v>
      </c>
      <c r="F900">
        <v>100</v>
      </c>
      <c r="G900" t="s">
        <v>14</v>
      </c>
      <c r="H900" t="s">
        <v>14</v>
      </c>
      <c r="I900" t="s">
        <v>14</v>
      </c>
      <c r="J900" t="s">
        <v>14</v>
      </c>
    </row>
    <row r="901" spans="1:10" x14ac:dyDescent="0.35">
      <c r="A901" t="s">
        <v>54</v>
      </c>
      <c r="B901" t="s">
        <v>55</v>
      </c>
      <c r="C901" t="s">
        <v>74</v>
      </c>
      <c r="D901">
        <v>2016</v>
      </c>
      <c r="E901">
        <v>100</v>
      </c>
      <c r="F901">
        <v>100</v>
      </c>
      <c r="G901" t="s">
        <v>14</v>
      </c>
      <c r="H901" t="s">
        <v>14</v>
      </c>
      <c r="I901" t="s">
        <v>14</v>
      </c>
      <c r="J901" t="s">
        <v>14</v>
      </c>
    </row>
    <row r="902" spans="1:10" x14ac:dyDescent="0.35">
      <c r="A902" t="s">
        <v>54</v>
      </c>
      <c r="B902" t="s">
        <v>55</v>
      </c>
      <c r="C902" t="s">
        <v>74</v>
      </c>
      <c r="D902">
        <v>2017</v>
      </c>
      <c r="E902">
        <v>100</v>
      </c>
      <c r="F902">
        <v>100</v>
      </c>
      <c r="G902" t="s">
        <v>14</v>
      </c>
      <c r="H902" t="s">
        <v>14</v>
      </c>
      <c r="I902" t="s">
        <v>14</v>
      </c>
      <c r="J902" t="s">
        <v>14</v>
      </c>
    </row>
    <row r="903" spans="1:10" x14ac:dyDescent="0.35">
      <c r="A903" t="s">
        <v>54</v>
      </c>
      <c r="B903" t="s">
        <v>55</v>
      </c>
      <c r="C903" t="s">
        <v>74</v>
      </c>
      <c r="D903">
        <v>2018</v>
      </c>
      <c r="E903">
        <v>100</v>
      </c>
      <c r="F903">
        <v>100</v>
      </c>
      <c r="G903" t="s">
        <v>14</v>
      </c>
      <c r="H903" t="s">
        <v>14</v>
      </c>
      <c r="I903" t="s">
        <v>14</v>
      </c>
      <c r="J903" t="s">
        <v>14</v>
      </c>
    </row>
    <row r="904" spans="1:10" x14ac:dyDescent="0.35">
      <c r="A904" t="s">
        <v>54</v>
      </c>
      <c r="B904" t="s">
        <v>55</v>
      </c>
      <c r="C904" t="s">
        <v>74</v>
      </c>
      <c r="D904">
        <v>2019</v>
      </c>
      <c r="E904">
        <v>100</v>
      </c>
      <c r="F904">
        <v>100</v>
      </c>
      <c r="G904" t="s">
        <v>14</v>
      </c>
      <c r="H904" t="s">
        <v>14</v>
      </c>
      <c r="I904" t="s">
        <v>14</v>
      </c>
      <c r="J904" t="s">
        <v>14</v>
      </c>
    </row>
    <row r="905" spans="1:10" x14ac:dyDescent="0.35">
      <c r="A905" t="s">
        <v>54</v>
      </c>
      <c r="B905" t="s">
        <v>55</v>
      </c>
      <c r="C905" t="s">
        <v>74</v>
      </c>
      <c r="D905">
        <v>2020</v>
      </c>
      <c r="E905">
        <v>100</v>
      </c>
      <c r="F905">
        <v>100</v>
      </c>
      <c r="G905" t="s">
        <v>14</v>
      </c>
      <c r="H905" t="s">
        <v>14</v>
      </c>
      <c r="I905" t="s">
        <v>14</v>
      </c>
      <c r="J905" t="s">
        <v>14</v>
      </c>
    </row>
    <row r="906" spans="1:10" x14ac:dyDescent="0.35">
      <c r="A906" t="s">
        <v>54</v>
      </c>
      <c r="B906" t="s">
        <v>55</v>
      </c>
      <c r="C906" t="s">
        <v>77</v>
      </c>
      <c r="D906">
        <v>2015</v>
      </c>
      <c r="E906">
        <v>100</v>
      </c>
      <c r="F906">
        <v>100</v>
      </c>
      <c r="G906" t="s">
        <v>14</v>
      </c>
      <c r="H906" t="s">
        <v>14</v>
      </c>
      <c r="I906" t="s">
        <v>14</v>
      </c>
      <c r="J906" t="s">
        <v>14</v>
      </c>
    </row>
    <row r="907" spans="1:10" x14ac:dyDescent="0.35">
      <c r="A907" t="s">
        <v>54</v>
      </c>
      <c r="B907" t="s">
        <v>55</v>
      </c>
      <c r="C907" t="s">
        <v>77</v>
      </c>
      <c r="D907">
        <v>2016</v>
      </c>
      <c r="E907">
        <v>100</v>
      </c>
      <c r="F907">
        <v>100</v>
      </c>
      <c r="G907" t="s">
        <v>14</v>
      </c>
      <c r="H907" t="s">
        <v>14</v>
      </c>
      <c r="I907" t="s">
        <v>14</v>
      </c>
      <c r="J907" t="s">
        <v>14</v>
      </c>
    </row>
    <row r="908" spans="1:10" x14ac:dyDescent="0.35">
      <c r="A908" t="s">
        <v>54</v>
      </c>
      <c r="B908" t="s">
        <v>55</v>
      </c>
      <c r="C908" t="s">
        <v>77</v>
      </c>
      <c r="D908">
        <v>2017</v>
      </c>
      <c r="E908">
        <v>100</v>
      </c>
      <c r="F908">
        <v>100</v>
      </c>
      <c r="G908" t="s">
        <v>14</v>
      </c>
      <c r="H908" t="s">
        <v>14</v>
      </c>
      <c r="I908" t="s">
        <v>14</v>
      </c>
      <c r="J908" t="s">
        <v>14</v>
      </c>
    </row>
    <row r="909" spans="1:10" x14ac:dyDescent="0.35">
      <c r="A909" t="s">
        <v>54</v>
      </c>
      <c r="B909" t="s">
        <v>55</v>
      </c>
      <c r="C909" t="s">
        <v>77</v>
      </c>
      <c r="D909">
        <v>2018</v>
      </c>
      <c r="E909">
        <v>100</v>
      </c>
      <c r="F909">
        <v>100</v>
      </c>
      <c r="G909" t="s">
        <v>14</v>
      </c>
      <c r="H909" t="s">
        <v>14</v>
      </c>
      <c r="I909" t="s">
        <v>14</v>
      </c>
      <c r="J909" t="s">
        <v>14</v>
      </c>
    </row>
    <row r="910" spans="1:10" x14ac:dyDescent="0.35">
      <c r="A910" t="s">
        <v>54</v>
      </c>
      <c r="B910" t="s">
        <v>55</v>
      </c>
      <c r="C910" t="s">
        <v>77</v>
      </c>
      <c r="D910">
        <v>2019</v>
      </c>
      <c r="E910">
        <v>100</v>
      </c>
      <c r="F910">
        <v>100</v>
      </c>
      <c r="G910" t="s">
        <v>14</v>
      </c>
      <c r="H910" t="s">
        <v>14</v>
      </c>
      <c r="I910" t="s">
        <v>14</v>
      </c>
      <c r="J910" t="s">
        <v>14</v>
      </c>
    </row>
    <row r="911" spans="1:10" x14ac:dyDescent="0.35">
      <c r="A911" t="s">
        <v>54</v>
      </c>
      <c r="B911" t="s">
        <v>55</v>
      </c>
      <c r="C911" t="s">
        <v>77</v>
      </c>
      <c r="D911">
        <v>2020</v>
      </c>
      <c r="E911">
        <v>100</v>
      </c>
      <c r="F911">
        <v>100</v>
      </c>
      <c r="G911" t="s">
        <v>14</v>
      </c>
      <c r="H911" t="s">
        <v>14</v>
      </c>
      <c r="I911" t="s">
        <v>14</v>
      </c>
      <c r="J911" t="s">
        <v>14</v>
      </c>
    </row>
    <row r="912" spans="1:10" x14ac:dyDescent="0.35">
      <c r="A912" t="s">
        <v>54</v>
      </c>
      <c r="B912" t="s">
        <v>83</v>
      </c>
      <c r="C912" t="s">
        <v>85</v>
      </c>
      <c r="D912">
        <v>2017</v>
      </c>
      <c r="E912">
        <v>100</v>
      </c>
      <c r="F912">
        <v>96.67</v>
      </c>
      <c r="G912">
        <v>4.9938419999999999</v>
      </c>
      <c r="H912">
        <v>60.52</v>
      </c>
      <c r="I912">
        <v>51060</v>
      </c>
      <c r="J912">
        <v>7.73</v>
      </c>
    </row>
    <row r="913" spans="1:10" x14ac:dyDescent="0.35">
      <c r="A913" t="s">
        <v>54</v>
      </c>
      <c r="B913" t="s">
        <v>83</v>
      </c>
      <c r="C913" t="s">
        <v>85</v>
      </c>
      <c r="D913">
        <v>2018</v>
      </c>
      <c r="E913">
        <v>100</v>
      </c>
      <c r="F913">
        <v>97.33</v>
      </c>
      <c r="G913">
        <v>5.0407339999999996</v>
      </c>
      <c r="H913">
        <v>62.42</v>
      </c>
      <c r="I913">
        <v>51060</v>
      </c>
      <c r="J913">
        <v>9.01</v>
      </c>
    </row>
    <row r="914" spans="1:10" x14ac:dyDescent="0.35">
      <c r="A914" t="s">
        <v>54</v>
      </c>
      <c r="B914" t="s">
        <v>83</v>
      </c>
      <c r="C914" t="s">
        <v>85</v>
      </c>
      <c r="D914">
        <v>2019</v>
      </c>
      <c r="E914">
        <v>100</v>
      </c>
      <c r="F914">
        <v>97.33</v>
      </c>
      <c r="G914">
        <v>5.0845320000000003</v>
      </c>
      <c r="H914">
        <v>64.42</v>
      </c>
      <c r="I914">
        <v>51060</v>
      </c>
      <c r="J914">
        <v>10.81</v>
      </c>
    </row>
    <row r="915" spans="1:10" x14ac:dyDescent="0.35">
      <c r="A915" t="s">
        <v>54</v>
      </c>
      <c r="B915" t="s">
        <v>83</v>
      </c>
      <c r="C915" t="s">
        <v>85</v>
      </c>
      <c r="D915">
        <v>2020</v>
      </c>
      <c r="E915">
        <v>100</v>
      </c>
      <c r="F915">
        <v>97.67</v>
      </c>
      <c r="G915">
        <v>5.1231049999999998</v>
      </c>
      <c r="H915">
        <v>62.16</v>
      </c>
      <c r="I915">
        <v>51060</v>
      </c>
      <c r="J915">
        <v>16.43</v>
      </c>
    </row>
    <row r="916" spans="1:10" x14ac:dyDescent="0.35">
      <c r="A916" t="s">
        <v>54</v>
      </c>
      <c r="B916" t="s">
        <v>92</v>
      </c>
      <c r="C916" t="s">
        <v>93</v>
      </c>
      <c r="D916">
        <v>2017</v>
      </c>
      <c r="E916">
        <v>100</v>
      </c>
      <c r="F916">
        <v>97</v>
      </c>
      <c r="G916">
        <v>44.044811000000003</v>
      </c>
      <c r="H916">
        <v>643.63</v>
      </c>
      <c r="I916">
        <v>2736690</v>
      </c>
      <c r="J916">
        <v>8.35</v>
      </c>
    </row>
    <row r="917" spans="1:10" x14ac:dyDescent="0.35">
      <c r="A917" t="s">
        <v>54</v>
      </c>
      <c r="B917" t="s">
        <v>92</v>
      </c>
      <c r="C917" t="s">
        <v>93</v>
      </c>
      <c r="D917">
        <v>2018</v>
      </c>
      <c r="E917">
        <v>100</v>
      </c>
      <c r="F917">
        <v>98</v>
      </c>
      <c r="G917">
        <v>44.494501999999997</v>
      </c>
      <c r="H917">
        <v>524.82000000000005</v>
      </c>
      <c r="I917">
        <v>2736690</v>
      </c>
      <c r="J917">
        <v>9.2200000000000006</v>
      </c>
    </row>
    <row r="918" spans="1:10" x14ac:dyDescent="0.35">
      <c r="A918" t="s">
        <v>54</v>
      </c>
      <c r="B918" t="s">
        <v>92</v>
      </c>
      <c r="C918" t="s">
        <v>93</v>
      </c>
      <c r="D918">
        <v>2019</v>
      </c>
      <c r="E918">
        <v>100</v>
      </c>
      <c r="F918">
        <v>98</v>
      </c>
      <c r="G918">
        <v>44.938712000000002</v>
      </c>
      <c r="H918">
        <v>447.75</v>
      </c>
      <c r="I918">
        <v>2736690</v>
      </c>
      <c r="J918">
        <v>9.84</v>
      </c>
    </row>
    <row r="919" spans="1:10" x14ac:dyDescent="0.35">
      <c r="A919" t="s">
        <v>54</v>
      </c>
      <c r="B919" t="s">
        <v>92</v>
      </c>
      <c r="C919" t="s">
        <v>93</v>
      </c>
      <c r="D919">
        <v>2020</v>
      </c>
      <c r="E919">
        <v>100</v>
      </c>
      <c r="F919">
        <v>99</v>
      </c>
      <c r="G919">
        <v>45.376762999999997</v>
      </c>
      <c r="H919">
        <v>385.54</v>
      </c>
      <c r="I919">
        <v>2736690</v>
      </c>
      <c r="J919">
        <v>11.46</v>
      </c>
    </row>
    <row r="920" spans="1:10" x14ac:dyDescent="0.35">
      <c r="A920" t="s">
        <v>54</v>
      </c>
      <c r="B920" t="s">
        <v>92</v>
      </c>
      <c r="C920" t="s">
        <v>96</v>
      </c>
      <c r="D920">
        <v>2017</v>
      </c>
      <c r="E920">
        <v>100</v>
      </c>
      <c r="F920">
        <v>100</v>
      </c>
      <c r="G920">
        <v>18.368576999999998</v>
      </c>
      <c r="H920">
        <v>276.36</v>
      </c>
      <c r="I920">
        <v>743532</v>
      </c>
      <c r="J920">
        <v>6.95</v>
      </c>
    </row>
    <row r="921" spans="1:10" x14ac:dyDescent="0.35">
      <c r="A921" t="s">
        <v>54</v>
      </c>
      <c r="B921" t="s">
        <v>92</v>
      </c>
      <c r="C921" t="s">
        <v>96</v>
      </c>
      <c r="D921">
        <v>2018</v>
      </c>
      <c r="E921">
        <v>100</v>
      </c>
      <c r="F921">
        <v>100</v>
      </c>
      <c r="G921">
        <v>18.701450000000001</v>
      </c>
      <c r="H921">
        <v>295.39999999999998</v>
      </c>
      <c r="I921">
        <v>743532</v>
      </c>
      <c r="J921">
        <v>7.21</v>
      </c>
    </row>
    <row r="922" spans="1:10" x14ac:dyDescent="0.35">
      <c r="A922" t="s">
        <v>54</v>
      </c>
      <c r="B922" t="s">
        <v>92</v>
      </c>
      <c r="C922" t="s">
        <v>96</v>
      </c>
      <c r="D922">
        <v>2019</v>
      </c>
      <c r="E922">
        <v>100</v>
      </c>
      <c r="F922">
        <v>100</v>
      </c>
      <c r="G922">
        <v>19.039484999999999</v>
      </c>
      <c r="H922">
        <v>278.58</v>
      </c>
      <c r="I922">
        <v>743532</v>
      </c>
      <c r="J922">
        <v>7.27</v>
      </c>
    </row>
    <row r="923" spans="1:10" x14ac:dyDescent="0.35">
      <c r="A923" t="s">
        <v>54</v>
      </c>
      <c r="B923" t="s">
        <v>92</v>
      </c>
      <c r="C923" t="s">
        <v>96</v>
      </c>
      <c r="D923">
        <v>2020</v>
      </c>
      <c r="E923">
        <v>100</v>
      </c>
      <c r="F923">
        <v>100</v>
      </c>
      <c r="G923">
        <v>19.300315000000001</v>
      </c>
      <c r="H923">
        <v>252.73</v>
      </c>
      <c r="I923">
        <v>743532</v>
      </c>
      <c r="J923">
        <v>10.94</v>
      </c>
    </row>
    <row r="924" spans="1:10" x14ac:dyDescent="0.35">
      <c r="A924" t="s">
        <v>107</v>
      </c>
      <c r="B924" t="s">
        <v>108</v>
      </c>
      <c r="C924" t="s">
        <v>111</v>
      </c>
      <c r="D924">
        <v>2018</v>
      </c>
      <c r="E924">
        <v>100</v>
      </c>
      <c r="F924">
        <v>92</v>
      </c>
      <c r="G924">
        <v>6.4777930000000001</v>
      </c>
      <c r="H924">
        <v>76.680000000000007</v>
      </c>
      <c r="I924">
        <v>1759540</v>
      </c>
      <c r="J924" t="s">
        <v>14</v>
      </c>
    </row>
    <row r="925" spans="1:10" x14ac:dyDescent="0.35">
      <c r="A925" t="s">
        <v>107</v>
      </c>
      <c r="B925" t="s">
        <v>108</v>
      </c>
      <c r="C925" t="s">
        <v>111</v>
      </c>
      <c r="D925">
        <v>2019</v>
      </c>
      <c r="E925">
        <v>100</v>
      </c>
      <c r="F925">
        <v>92</v>
      </c>
      <c r="G925">
        <v>6.5690879999999998</v>
      </c>
      <c r="H925">
        <v>69.25</v>
      </c>
      <c r="I925">
        <v>1759540</v>
      </c>
      <c r="J925" t="s">
        <v>14</v>
      </c>
    </row>
    <row r="926" spans="1:10" x14ac:dyDescent="0.35">
      <c r="A926" t="s">
        <v>107</v>
      </c>
      <c r="B926" t="s">
        <v>108</v>
      </c>
      <c r="C926" t="s">
        <v>111</v>
      </c>
      <c r="D926">
        <v>2020</v>
      </c>
      <c r="E926">
        <v>100</v>
      </c>
      <c r="F926">
        <v>92</v>
      </c>
      <c r="G926">
        <v>6.6539419999999998</v>
      </c>
      <c r="H926">
        <v>50.36</v>
      </c>
      <c r="I926">
        <v>1759540</v>
      </c>
      <c r="J926" t="s">
        <v>14</v>
      </c>
    </row>
    <row r="927" spans="1:10" x14ac:dyDescent="0.35">
      <c r="A927" t="s">
        <v>107</v>
      </c>
      <c r="B927" t="s">
        <v>115</v>
      </c>
      <c r="C927" t="s">
        <v>116</v>
      </c>
      <c r="D927">
        <v>2017</v>
      </c>
      <c r="E927">
        <v>100</v>
      </c>
      <c r="F927">
        <v>92</v>
      </c>
      <c r="G927">
        <v>2.8519230000000002</v>
      </c>
      <c r="H927">
        <v>11.53</v>
      </c>
      <c r="I927">
        <v>28470</v>
      </c>
      <c r="J927">
        <v>17.7</v>
      </c>
    </row>
    <row r="928" spans="1:10" x14ac:dyDescent="0.35">
      <c r="A928" t="s">
        <v>107</v>
      </c>
      <c r="B928" t="s">
        <v>115</v>
      </c>
      <c r="C928" t="s">
        <v>116</v>
      </c>
      <c r="D928">
        <v>2018</v>
      </c>
      <c r="E928">
        <v>100</v>
      </c>
      <c r="F928">
        <v>92.33</v>
      </c>
      <c r="G928">
        <v>2.836557</v>
      </c>
      <c r="H928">
        <v>12.46</v>
      </c>
      <c r="I928">
        <v>28470</v>
      </c>
      <c r="J928">
        <v>13.21</v>
      </c>
    </row>
    <row r="929" spans="1:10" x14ac:dyDescent="0.35">
      <c r="A929" t="s">
        <v>107</v>
      </c>
      <c r="B929" t="s">
        <v>115</v>
      </c>
      <c r="C929" t="s">
        <v>116</v>
      </c>
      <c r="D929">
        <v>2019</v>
      </c>
      <c r="E929">
        <v>100</v>
      </c>
      <c r="F929">
        <v>92.33</v>
      </c>
      <c r="G929">
        <v>2.8206020000000001</v>
      </c>
      <c r="H929">
        <v>13.62</v>
      </c>
      <c r="I929">
        <v>28470</v>
      </c>
      <c r="J929">
        <v>12.2</v>
      </c>
    </row>
    <row r="930" spans="1:10" x14ac:dyDescent="0.35">
      <c r="A930" t="s">
        <v>107</v>
      </c>
      <c r="B930" t="s">
        <v>115</v>
      </c>
      <c r="C930" t="s">
        <v>116</v>
      </c>
      <c r="D930">
        <v>2020</v>
      </c>
      <c r="E930">
        <v>100</v>
      </c>
      <c r="F930">
        <v>92.33</v>
      </c>
      <c r="G930">
        <v>2.8056079999999999</v>
      </c>
      <c r="H930">
        <v>12.64</v>
      </c>
      <c r="I930">
        <v>28470</v>
      </c>
      <c r="J930">
        <v>12.18</v>
      </c>
    </row>
    <row r="931" spans="1:10" x14ac:dyDescent="0.35">
      <c r="A931" t="s">
        <v>107</v>
      </c>
      <c r="B931" t="s">
        <v>115</v>
      </c>
      <c r="C931" t="s">
        <v>118</v>
      </c>
      <c r="D931">
        <v>2015</v>
      </c>
      <c r="E931">
        <v>100</v>
      </c>
      <c r="F931">
        <v>100</v>
      </c>
      <c r="G931">
        <v>1.362142</v>
      </c>
      <c r="H931">
        <v>31.05</v>
      </c>
      <c r="I931">
        <v>778</v>
      </c>
      <c r="J931" t="s">
        <v>14</v>
      </c>
    </row>
    <row r="932" spans="1:10" x14ac:dyDescent="0.35">
      <c r="A932" t="s">
        <v>107</v>
      </c>
      <c r="B932" t="s">
        <v>115</v>
      </c>
      <c r="C932" t="s">
        <v>118</v>
      </c>
      <c r="D932">
        <v>2016</v>
      </c>
      <c r="E932">
        <v>100</v>
      </c>
      <c r="F932">
        <v>100</v>
      </c>
      <c r="G932">
        <v>1.4096610000000001</v>
      </c>
      <c r="H932">
        <v>32.229999999999997</v>
      </c>
      <c r="I932">
        <v>779</v>
      </c>
      <c r="J932" t="s">
        <v>14</v>
      </c>
    </row>
    <row r="933" spans="1:10" x14ac:dyDescent="0.35">
      <c r="A933" t="s">
        <v>107</v>
      </c>
      <c r="B933" t="s">
        <v>115</v>
      </c>
      <c r="C933" t="s">
        <v>118</v>
      </c>
      <c r="D933">
        <v>2017</v>
      </c>
      <c r="E933">
        <v>100</v>
      </c>
      <c r="F933">
        <v>100</v>
      </c>
      <c r="G933">
        <v>1.456834</v>
      </c>
      <c r="H933">
        <v>35.47</v>
      </c>
      <c r="I933">
        <v>780</v>
      </c>
      <c r="J933" t="s">
        <v>14</v>
      </c>
    </row>
    <row r="934" spans="1:10" x14ac:dyDescent="0.35">
      <c r="A934" t="s">
        <v>107</v>
      </c>
      <c r="B934" t="s">
        <v>115</v>
      </c>
      <c r="C934" t="s">
        <v>118</v>
      </c>
      <c r="D934">
        <v>2018</v>
      </c>
      <c r="E934">
        <v>100</v>
      </c>
      <c r="F934">
        <v>100</v>
      </c>
      <c r="G934">
        <v>1.4873400000000001</v>
      </c>
      <c r="H934">
        <v>37.799999999999997</v>
      </c>
      <c r="I934">
        <v>780</v>
      </c>
      <c r="J934" t="s">
        <v>14</v>
      </c>
    </row>
    <row r="935" spans="1:10" x14ac:dyDescent="0.35">
      <c r="A935" t="s">
        <v>107</v>
      </c>
      <c r="B935" t="s">
        <v>115</v>
      </c>
      <c r="C935" t="s">
        <v>118</v>
      </c>
      <c r="D935">
        <v>2019</v>
      </c>
      <c r="E935">
        <v>100</v>
      </c>
      <c r="F935">
        <v>100</v>
      </c>
      <c r="G935">
        <v>1.4941880000000001</v>
      </c>
      <c r="H935">
        <v>38.65</v>
      </c>
      <c r="I935">
        <v>783</v>
      </c>
      <c r="J935" t="s">
        <v>14</v>
      </c>
    </row>
    <row r="936" spans="1:10" x14ac:dyDescent="0.35">
      <c r="A936" t="s">
        <v>107</v>
      </c>
      <c r="B936" t="s">
        <v>115</v>
      </c>
      <c r="C936" t="s">
        <v>118</v>
      </c>
      <c r="D936">
        <v>2020</v>
      </c>
      <c r="E936">
        <v>100</v>
      </c>
      <c r="F936">
        <v>100</v>
      </c>
      <c r="G936">
        <v>1.4774689999999999</v>
      </c>
      <c r="H936">
        <v>34.72</v>
      </c>
      <c r="I936">
        <v>785</v>
      </c>
      <c r="J936" t="s">
        <v>14</v>
      </c>
    </row>
    <row r="937" spans="1:10" x14ac:dyDescent="0.35">
      <c r="A937" t="s">
        <v>107</v>
      </c>
      <c r="B937" t="s">
        <v>115</v>
      </c>
      <c r="C937" t="s">
        <v>119</v>
      </c>
      <c r="D937">
        <v>2015</v>
      </c>
      <c r="E937">
        <v>100</v>
      </c>
      <c r="F937">
        <v>99.33</v>
      </c>
      <c r="G937">
        <v>1.1872799999999999</v>
      </c>
      <c r="H937">
        <v>19.91</v>
      </c>
      <c r="I937">
        <v>9240</v>
      </c>
      <c r="J937">
        <v>15.03</v>
      </c>
    </row>
    <row r="938" spans="1:10" x14ac:dyDescent="0.35">
      <c r="A938" t="s">
        <v>107</v>
      </c>
      <c r="B938" t="s">
        <v>115</v>
      </c>
      <c r="C938" t="s">
        <v>119</v>
      </c>
      <c r="D938">
        <v>2016</v>
      </c>
      <c r="E938">
        <v>100</v>
      </c>
      <c r="F938">
        <v>99.33</v>
      </c>
      <c r="G938">
        <v>1.197881</v>
      </c>
      <c r="H938">
        <v>21.05</v>
      </c>
      <c r="I938">
        <v>9240</v>
      </c>
      <c r="J938">
        <v>13.01</v>
      </c>
    </row>
    <row r="939" spans="1:10" x14ac:dyDescent="0.35">
      <c r="A939" t="s">
        <v>107</v>
      </c>
      <c r="B939" t="s">
        <v>115</v>
      </c>
      <c r="C939" t="s">
        <v>119</v>
      </c>
      <c r="D939">
        <v>2017</v>
      </c>
      <c r="E939">
        <v>100</v>
      </c>
      <c r="F939">
        <v>99.33</v>
      </c>
      <c r="G939">
        <v>1.208523</v>
      </c>
      <c r="H939">
        <v>22.95</v>
      </c>
      <c r="I939">
        <v>9240</v>
      </c>
      <c r="J939">
        <v>11.16</v>
      </c>
    </row>
    <row r="940" spans="1:10" x14ac:dyDescent="0.35">
      <c r="A940" t="s">
        <v>107</v>
      </c>
      <c r="B940" t="s">
        <v>115</v>
      </c>
      <c r="C940" t="s">
        <v>119</v>
      </c>
      <c r="D940">
        <v>2018</v>
      </c>
      <c r="E940">
        <v>100</v>
      </c>
      <c r="F940">
        <v>99.33</v>
      </c>
      <c r="G940">
        <v>1.218831</v>
      </c>
      <c r="H940">
        <v>25.6</v>
      </c>
      <c r="I940">
        <v>9240</v>
      </c>
      <c r="J940">
        <v>8.5</v>
      </c>
    </row>
    <row r="941" spans="1:10" x14ac:dyDescent="0.35">
      <c r="A941" t="s">
        <v>107</v>
      </c>
      <c r="B941" t="s">
        <v>115</v>
      </c>
      <c r="C941" t="s">
        <v>119</v>
      </c>
      <c r="D941">
        <v>2019</v>
      </c>
      <c r="E941">
        <v>100</v>
      </c>
      <c r="F941">
        <v>99.33</v>
      </c>
      <c r="G941">
        <v>1.228836</v>
      </c>
      <c r="H941">
        <v>25.94</v>
      </c>
      <c r="I941">
        <v>9240</v>
      </c>
      <c r="J941">
        <v>7.15</v>
      </c>
    </row>
    <row r="942" spans="1:10" x14ac:dyDescent="0.35">
      <c r="A942" t="s">
        <v>107</v>
      </c>
      <c r="B942" t="s">
        <v>115</v>
      </c>
      <c r="C942" t="s">
        <v>119</v>
      </c>
      <c r="D942">
        <v>2020</v>
      </c>
      <c r="E942">
        <v>100</v>
      </c>
      <c r="F942">
        <v>99.33</v>
      </c>
      <c r="G942">
        <v>1.2375370000000001</v>
      </c>
      <c r="H942">
        <v>25.01</v>
      </c>
      <c r="I942">
        <v>9240</v>
      </c>
      <c r="J942">
        <v>7.76</v>
      </c>
    </row>
    <row r="943" spans="1:10" x14ac:dyDescent="0.35">
      <c r="A943" t="s">
        <v>107</v>
      </c>
      <c r="B943" t="s">
        <v>115</v>
      </c>
      <c r="C943" t="s">
        <v>122</v>
      </c>
      <c r="D943">
        <v>2015</v>
      </c>
      <c r="E943">
        <v>100</v>
      </c>
      <c r="F943">
        <v>100</v>
      </c>
      <c r="G943">
        <v>8.3801000000000005</v>
      </c>
      <c r="H943">
        <v>303.41000000000003</v>
      </c>
      <c r="I943">
        <v>21640</v>
      </c>
      <c r="J943">
        <v>5.18</v>
      </c>
    </row>
    <row r="944" spans="1:10" x14ac:dyDescent="0.35">
      <c r="A944" t="s">
        <v>107</v>
      </c>
      <c r="B944" t="s">
        <v>115</v>
      </c>
      <c r="C944" t="s">
        <v>122</v>
      </c>
      <c r="D944">
        <v>2016</v>
      </c>
      <c r="E944">
        <v>100</v>
      </c>
      <c r="F944">
        <v>100</v>
      </c>
      <c r="G944">
        <v>8.5459999999999994</v>
      </c>
      <c r="H944">
        <v>322.10000000000002</v>
      </c>
      <c r="I944">
        <v>21640</v>
      </c>
      <c r="J944">
        <v>4.72</v>
      </c>
    </row>
    <row r="945" spans="1:10" x14ac:dyDescent="0.35">
      <c r="A945" t="s">
        <v>107</v>
      </c>
      <c r="B945" t="s">
        <v>115</v>
      </c>
      <c r="C945" t="s">
        <v>122</v>
      </c>
      <c r="D945">
        <v>2017</v>
      </c>
      <c r="E945">
        <v>100</v>
      </c>
      <c r="F945">
        <v>100</v>
      </c>
      <c r="G945">
        <v>8.7133000000000003</v>
      </c>
      <c r="H945">
        <v>358.25</v>
      </c>
      <c r="I945">
        <v>21640</v>
      </c>
      <c r="J945">
        <v>4.1399999999999997</v>
      </c>
    </row>
    <row r="946" spans="1:10" x14ac:dyDescent="0.35">
      <c r="A946" t="s">
        <v>107</v>
      </c>
      <c r="B946" t="s">
        <v>115</v>
      </c>
      <c r="C946" t="s">
        <v>122</v>
      </c>
      <c r="D946">
        <v>2018</v>
      </c>
      <c r="E946">
        <v>100</v>
      </c>
      <c r="F946">
        <v>99.67</v>
      </c>
      <c r="G946">
        <v>8.8827999999999996</v>
      </c>
      <c r="H946">
        <v>376.69</v>
      </c>
      <c r="I946">
        <v>21640</v>
      </c>
      <c r="J946">
        <v>3.92</v>
      </c>
    </row>
    <row r="947" spans="1:10" x14ac:dyDescent="0.35">
      <c r="A947" t="s">
        <v>107</v>
      </c>
      <c r="B947" t="s">
        <v>115</v>
      </c>
      <c r="C947" t="s">
        <v>122</v>
      </c>
      <c r="D947">
        <v>2019</v>
      </c>
      <c r="E947">
        <v>100</v>
      </c>
      <c r="F947">
        <v>99.67</v>
      </c>
      <c r="G947">
        <v>9.0540000000000003</v>
      </c>
      <c r="H947">
        <v>402.47</v>
      </c>
      <c r="I947">
        <v>21640</v>
      </c>
      <c r="J947">
        <v>3.73</v>
      </c>
    </row>
    <row r="948" spans="1:10" x14ac:dyDescent="0.35">
      <c r="A948" t="s">
        <v>107</v>
      </c>
      <c r="B948" t="s">
        <v>115</v>
      </c>
      <c r="C948" t="s">
        <v>122</v>
      </c>
      <c r="D948">
        <v>2020</v>
      </c>
      <c r="E948">
        <v>100</v>
      </c>
      <c r="F948">
        <v>99.67</v>
      </c>
      <c r="G948">
        <v>9.2150999999999996</v>
      </c>
      <c r="H948">
        <v>413.27</v>
      </c>
      <c r="I948">
        <v>21640</v>
      </c>
      <c r="J948">
        <v>4.17</v>
      </c>
    </row>
    <row r="949" spans="1:10" x14ac:dyDescent="0.35">
      <c r="A949" t="s">
        <v>107</v>
      </c>
      <c r="B949" t="s">
        <v>115</v>
      </c>
      <c r="C949" t="s">
        <v>124</v>
      </c>
      <c r="D949">
        <v>2015</v>
      </c>
      <c r="E949">
        <v>100</v>
      </c>
      <c r="F949">
        <v>100</v>
      </c>
      <c r="G949">
        <v>3.9087429999999999</v>
      </c>
      <c r="H949">
        <v>114.57</v>
      </c>
      <c r="I949">
        <v>17820</v>
      </c>
      <c r="J949">
        <v>2.2000000000000002</v>
      </c>
    </row>
    <row r="950" spans="1:10" x14ac:dyDescent="0.35">
      <c r="A950" t="s">
        <v>107</v>
      </c>
      <c r="B950" t="s">
        <v>115</v>
      </c>
      <c r="C950" t="s">
        <v>124</v>
      </c>
      <c r="D950">
        <v>2016</v>
      </c>
      <c r="E950">
        <v>100</v>
      </c>
      <c r="F950">
        <v>100</v>
      </c>
      <c r="G950">
        <v>4.0480850000000004</v>
      </c>
      <c r="H950">
        <v>109.42</v>
      </c>
      <c r="I950">
        <v>17820</v>
      </c>
      <c r="J950">
        <v>2.16</v>
      </c>
    </row>
    <row r="951" spans="1:10" x14ac:dyDescent="0.35">
      <c r="A951" t="s">
        <v>107</v>
      </c>
      <c r="B951" t="s">
        <v>115</v>
      </c>
      <c r="C951" t="s">
        <v>124</v>
      </c>
      <c r="D951">
        <v>2017</v>
      </c>
      <c r="E951">
        <v>100</v>
      </c>
      <c r="F951">
        <v>100</v>
      </c>
      <c r="G951">
        <v>4.1249039999999999</v>
      </c>
      <c r="H951">
        <v>120.71</v>
      </c>
      <c r="I951">
        <v>17820</v>
      </c>
      <c r="J951" t="s">
        <v>14</v>
      </c>
    </row>
    <row r="952" spans="1:10" x14ac:dyDescent="0.35">
      <c r="A952" t="s">
        <v>107</v>
      </c>
      <c r="B952" t="s">
        <v>115</v>
      </c>
      <c r="C952" t="s">
        <v>124</v>
      </c>
      <c r="D952">
        <v>2018</v>
      </c>
      <c r="E952">
        <v>100</v>
      </c>
      <c r="F952">
        <v>100</v>
      </c>
      <c r="G952">
        <v>4.3171850000000003</v>
      </c>
      <c r="H952">
        <v>138.18</v>
      </c>
      <c r="I952">
        <v>17820</v>
      </c>
      <c r="J952" t="s">
        <v>14</v>
      </c>
    </row>
    <row r="953" spans="1:10" x14ac:dyDescent="0.35">
      <c r="A953" t="s">
        <v>107</v>
      </c>
      <c r="B953" t="s">
        <v>115</v>
      </c>
      <c r="C953" t="s">
        <v>124</v>
      </c>
      <c r="D953">
        <v>2019</v>
      </c>
      <c r="E953">
        <v>100</v>
      </c>
      <c r="F953">
        <v>100</v>
      </c>
      <c r="G953">
        <v>4.4410999999999996</v>
      </c>
      <c r="H953">
        <v>136.19999999999999</v>
      </c>
      <c r="I953">
        <v>17820</v>
      </c>
      <c r="J953" t="s">
        <v>14</v>
      </c>
    </row>
    <row r="954" spans="1:10" x14ac:dyDescent="0.35">
      <c r="A954" t="s">
        <v>107</v>
      </c>
      <c r="B954" t="s">
        <v>115</v>
      </c>
      <c r="C954" t="s">
        <v>124</v>
      </c>
      <c r="D954">
        <v>2020</v>
      </c>
      <c r="E954">
        <v>100</v>
      </c>
      <c r="F954">
        <v>100</v>
      </c>
      <c r="G954">
        <v>4.3604440000000002</v>
      </c>
      <c r="H954">
        <v>105.96</v>
      </c>
      <c r="I954">
        <v>17820</v>
      </c>
      <c r="J954" t="s">
        <v>14</v>
      </c>
    </row>
    <row r="955" spans="1:10" x14ac:dyDescent="0.35">
      <c r="A955" t="s">
        <v>107</v>
      </c>
      <c r="B955" t="s">
        <v>115</v>
      </c>
      <c r="C955" t="s">
        <v>127</v>
      </c>
      <c r="D955">
        <v>2015</v>
      </c>
      <c r="E955">
        <v>100</v>
      </c>
      <c r="F955">
        <v>100</v>
      </c>
      <c r="G955">
        <v>2.4145729999999999</v>
      </c>
      <c r="H955">
        <v>161.74</v>
      </c>
      <c r="I955">
        <v>11490</v>
      </c>
      <c r="J955">
        <v>0.17</v>
      </c>
    </row>
    <row r="956" spans="1:10" x14ac:dyDescent="0.35">
      <c r="A956" t="s">
        <v>107</v>
      </c>
      <c r="B956" t="s">
        <v>115</v>
      </c>
      <c r="C956" t="s">
        <v>127</v>
      </c>
      <c r="D956">
        <v>2016</v>
      </c>
      <c r="E956">
        <v>100</v>
      </c>
      <c r="F956">
        <v>100</v>
      </c>
      <c r="G956">
        <v>2.5951659999999999</v>
      </c>
      <c r="H956">
        <v>151.72999999999999</v>
      </c>
      <c r="I956">
        <v>11490</v>
      </c>
      <c r="J956">
        <v>0.15</v>
      </c>
    </row>
    <row r="957" spans="1:10" x14ac:dyDescent="0.35">
      <c r="A957" t="s">
        <v>107</v>
      </c>
      <c r="B957" t="s">
        <v>115</v>
      </c>
      <c r="C957" t="s">
        <v>127</v>
      </c>
      <c r="D957">
        <v>2017</v>
      </c>
      <c r="E957">
        <v>100</v>
      </c>
      <c r="F957">
        <v>100</v>
      </c>
      <c r="G957">
        <v>2.7117550000000001</v>
      </c>
      <c r="H957">
        <v>161.1</v>
      </c>
      <c r="I957">
        <v>11490</v>
      </c>
      <c r="J957">
        <v>0.14000000000000001</v>
      </c>
    </row>
    <row r="958" spans="1:10" x14ac:dyDescent="0.35">
      <c r="A958" t="s">
        <v>107</v>
      </c>
      <c r="B958" t="s">
        <v>115</v>
      </c>
      <c r="C958" t="s">
        <v>127</v>
      </c>
      <c r="D958">
        <v>2018</v>
      </c>
      <c r="E958">
        <v>100</v>
      </c>
      <c r="F958">
        <v>100</v>
      </c>
      <c r="G958">
        <v>2.7667320000000002</v>
      </c>
      <c r="H958">
        <v>183.33</v>
      </c>
      <c r="I958">
        <v>11490</v>
      </c>
      <c r="J958">
        <v>0.11</v>
      </c>
    </row>
    <row r="959" spans="1:10" x14ac:dyDescent="0.35">
      <c r="A959" t="s">
        <v>107</v>
      </c>
      <c r="B959" t="s">
        <v>115</v>
      </c>
      <c r="C959" t="s">
        <v>127</v>
      </c>
      <c r="D959">
        <v>2019</v>
      </c>
      <c r="E959">
        <v>100</v>
      </c>
      <c r="F959">
        <v>100</v>
      </c>
      <c r="G959">
        <v>2.8072349999999999</v>
      </c>
      <c r="H959">
        <v>175.84</v>
      </c>
      <c r="I959">
        <v>11490</v>
      </c>
      <c r="J959">
        <v>0.1</v>
      </c>
    </row>
    <row r="960" spans="1:10" x14ac:dyDescent="0.35">
      <c r="A960" t="s">
        <v>107</v>
      </c>
      <c r="B960" t="s">
        <v>115</v>
      </c>
      <c r="C960" t="s">
        <v>127</v>
      </c>
      <c r="D960">
        <v>2020</v>
      </c>
      <c r="E960">
        <v>100</v>
      </c>
      <c r="F960">
        <v>100</v>
      </c>
      <c r="G960">
        <v>2.7603849999999999</v>
      </c>
      <c r="H960">
        <v>144.41</v>
      </c>
      <c r="I960">
        <v>11490</v>
      </c>
      <c r="J960">
        <v>0.14000000000000001</v>
      </c>
    </row>
    <row r="961" spans="1:10" x14ac:dyDescent="0.35">
      <c r="A961" t="s">
        <v>107</v>
      </c>
      <c r="B961" t="s">
        <v>115</v>
      </c>
      <c r="C961" t="s">
        <v>128</v>
      </c>
      <c r="D961">
        <v>2015</v>
      </c>
      <c r="E961">
        <v>100</v>
      </c>
      <c r="F961">
        <v>100</v>
      </c>
      <c r="G961">
        <v>32.749848</v>
      </c>
      <c r="H961">
        <v>654.27</v>
      </c>
      <c r="I961">
        <v>2149690</v>
      </c>
      <c r="J961">
        <v>5.6</v>
      </c>
    </row>
    <row r="962" spans="1:10" x14ac:dyDescent="0.35">
      <c r="A962" t="s">
        <v>107</v>
      </c>
      <c r="B962" t="s">
        <v>115</v>
      </c>
      <c r="C962" t="s">
        <v>128</v>
      </c>
      <c r="D962">
        <v>2016</v>
      </c>
      <c r="E962">
        <v>100</v>
      </c>
      <c r="F962">
        <v>100</v>
      </c>
      <c r="G962">
        <v>33.416269999999997</v>
      </c>
      <c r="H962">
        <v>644.94000000000005</v>
      </c>
      <c r="I962">
        <v>2149690</v>
      </c>
      <c r="J962">
        <v>5.6</v>
      </c>
    </row>
    <row r="963" spans="1:10" x14ac:dyDescent="0.35">
      <c r="A963" t="s">
        <v>107</v>
      </c>
      <c r="B963" t="s">
        <v>115</v>
      </c>
      <c r="C963" t="s">
        <v>128</v>
      </c>
      <c r="D963">
        <v>2017</v>
      </c>
      <c r="E963">
        <v>100</v>
      </c>
      <c r="F963">
        <v>100</v>
      </c>
      <c r="G963">
        <v>34.193122000000002</v>
      </c>
      <c r="H963">
        <v>688.59</v>
      </c>
      <c r="I963">
        <v>2149690</v>
      </c>
      <c r="J963">
        <v>5.89</v>
      </c>
    </row>
    <row r="964" spans="1:10" x14ac:dyDescent="0.35">
      <c r="A964" t="s">
        <v>107</v>
      </c>
      <c r="B964" t="s">
        <v>115</v>
      </c>
      <c r="C964" t="s">
        <v>128</v>
      </c>
      <c r="D964">
        <v>2018</v>
      </c>
      <c r="E964">
        <v>100</v>
      </c>
      <c r="F964">
        <v>100</v>
      </c>
      <c r="G964">
        <v>35.018132999999999</v>
      </c>
      <c r="H964">
        <v>816.58</v>
      </c>
      <c r="I964">
        <v>2149690</v>
      </c>
      <c r="J964">
        <v>6.03</v>
      </c>
    </row>
    <row r="965" spans="1:10" x14ac:dyDescent="0.35">
      <c r="A965" t="s">
        <v>107</v>
      </c>
      <c r="B965" t="s">
        <v>115</v>
      </c>
      <c r="C965" t="s">
        <v>128</v>
      </c>
      <c r="D965">
        <v>2019</v>
      </c>
      <c r="E965">
        <v>100</v>
      </c>
      <c r="F965">
        <v>100</v>
      </c>
      <c r="G965">
        <v>35.827362000000001</v>
      </c>
      <c r="H965">
        <v>803.62</v>
      </c>
      <c r="I965">
        <v>2149690</v>
      </c>
      <c r="J965">
        <v>5.64</v>
      </c>
    </row>
    <row r="966" spans="1:10" x14ac:dyDescent="0.35">
      <c r="A966" t="s">
        <v>107</v>
      </c>
      <c r="B966" t="s">
        <v>115</v>
      </c>
      <c r="C966" t="s">
        <v>128</v>
      </c>
      <c r="D966">
        <v>2020</v>
      </c>
      <c r="E966">
        <v>100</v>
      </c>
      <c r="F966">
        <v>100</v>
      </c>
      <c r="G966">
        <v>35.997107</v>
      </c>
      <c r="H966">
        <v>703.37</v>
      </c>
      <c r="I966">
        <v>2149690</v>
      </c>
      <c r="J966">
        <v>7.66</v>
      </c>
    </row>
    <row r="967" spans="1:10" x14ac:dyDescent="0.35">
      <c r="A967" t="s">
        <v>107</v>
      </c>
      <c r="B967" t="s">
        <v>115</v>
      </c>
      <c r="C967" t="s">
        <v>132</v>
      </c>
      <c r="D967">
        <v>2015</v>
      </c>
      <c r="E967">
        <v>100</v>
      </c>
      <c r="F967">
        <v>99</v>
      </c>
      <c r="G967">
        <v>8.9168990000000008</v>
      </c>
      <c r="H967">
        <v>370.28</v>
      </c>
      <c r="I967">
        <v>71020</v>
      </c>
      <c r="J967" t="s">
        <v>14</v>
      </c>
    </row>
    <row r="968" spans="1:10" x14ac:dyDescent="0.35">
      <c r="A968" t="s">
        <v>107</v>
      </c>
      <c r="B968" t="s">
        <v>115</v>
      </c>
      <c r="C968" t="s">
        <v>132</v>
      </c>
      <c r="D968">
        <v>2016</v>
      </c>
      <c r="E968">
        <v>100</v>
      </c>
      <c r="F968">
        <v>99</v>
      </c>
      <c r="G968">
        <v>8.9942630000000001</v>
      </c>
      <c r="H968">
        <v>369.26</v>
      </c>
      <c r="I968">
        <v>71020</v>
      </c>
      <c r="J968">
        <v>1.64</v>
      </c>
    </row>
    <row r="969" spans="1:10" x14ac:dyDescent="0.35">
      <c r="A969" t="s">
        <v>107</v>
      </c>
      <c r="B969" t="s">
        <v>115</v>
      </c>
      <c r="C969" t="s">
        <v>132</v>
      </c>
      <c r="D969">
        <v>2017</v>
      </c>
      <c r="E969">
        <v>100</v>
      </c>
      <c r="F969">
        <v>99</v>
      </c>
      <c r="G969">
        <v>9.0682960000000001</v>
      </c>
      <c r="H969">
        <v>390.52</v>
      </c>
      <c r="I969">
        <v>71020</v>
      </c>
      <c r="J969">
        <v>2.46</v>
      </c>
    </row>
    <row r="970" spans="1:10" x14ac:dyDescent="0.35">
      <c r="A970" t="s">
        <v>107</v>
      </c>
      <c r="B970" t="s">
        <v>115</v>
      </c>
      <c r="C970" t="s">
        <v>132</v>
      </c>
      <c r="D970">
        <v>2018</v>
      </c>
      <c r="E970">
        <v>100</v>
      </c>
      <c r="F970">
        <v>99</v>
      </c>
      <c r="G970">
        <v>9.1401690000000002</v>
      </c>
      <c r="H970">
        <v>427.05</v>
      </c>
      <c r="I970">
        <v>71020</v>
      </c>
      <c r="J970">
        <v>2.2400000000000002</v>
      </c>
    </row>
    <row r="971" spans="1:10" x14ac:dyDescent="0.35">
      <c r="A971" t="s">
        <v>107</v>
      </c>
      <c r="B971" t="s">
        <v>115</v>
      </c>
      <c r="C971" t="s">
        <v>132</v>
      </c>
      <c r="D971">
        <v>2019</v>
      </c>
      <c r="E971">
        <v>100</v>
      </c>
      <c r="F971">
        <v>99</v>
      </c>
      <c r="G971">
        <v>9.2116570000000007</v>
      </c>
      <c r="H971">
        <v>417.99</v>
      </c>
      <c r="I971">
        <v>71020</v>
      </c>
      <c r="J971">
        <v>2.33</v>
      </c>
    </row>
    <row r="972" spans="1:10" x14ac:dyDescent="0.35">
      <c r="A972" t="s">
        <v>107</v>
      </c>
      <c r="B972" t="s">
        <v>115</v>
      </c>
      <c r="C972" t="s">
        <v>132</v>
      </c>
      <c r="D972">
        <v>2020</v>
      </c>
      <c r="E972">
        <v>100</v>
      </c>
      <c r="F972">
        <v>99</v>
      </c>
      <c r="G972">
        <v>9.2872889999999995</v>
      </c>
      <c r="H972">
        <v>349.47</v>
      </c>
      <c r="I972">
        <v>71020</v>
      </c>
      <c r="J972">
        <v>4.29</v>
      </c>
    </row>
    <row r="973" spans="1:10" x14ac:dyDescent="0.35">
      <c r="A973" t="s">
        <v>134</v>
      </c>
      <c r="B973" t="s">
        <v>135</v>
      </c>
      <c r="C973" t="s">
        <v>136</v>
      </c>
      <c r="D973">
        <v>2015</v>
      </c>
      <c r="E973">
        <v>100</v>
      </c>
      <c r="F973">
        <v>100</v>
      </c>
      <c r="G973">
        <v>23.815995000000001</v>
      </c>
      <c r="H973">
        <v>1350.62</v>
      </c>
      <c r="I973">
        <v>7682300</v>
      </c>
      <c r="J973">
        <v>6.06</v>
      </c>
    </row>
    <row r="974" spans="1:10" x14ac:dyDescent="0.35">
      <c r="A974" t="s">
        <v>134</v>
      </c>
      <c r="B974" t="s">
        <v>135</v>
      </c>
      <c r="C974" t="s">
        <v>136</v>
      </c>
      <c r="D974">
        <v>2016</v>
      </c>
      <c r="E974">
        <v>100</v>
      </c>
      <c r="F974">
        <v>100</v>
      </c>
      <c r="G974">
        <v>24.190906999999999</v>
      </c>
      <c r="H974">
        <v>1206.54</v>
      </c>
      <c r="I974">
        <v>7692020</v>
      </c>
      <c r="J974">
        <v>5.71</v>
      </c>
    </row>
    <row r="975" spans="1:10" x14ac:dyDescent="0.35">
      <c r="A975" t="s">
        <v>134</v>
      </c>
      <c r="B975" t="s">
        <v>135</v>
      </c>
      <c r="C975" t="s">
        <v>136</v>
      </c>
      <c r="D975">
        <v>2017</v>
      </c>
      <c r="E975">
        <v>100</v>
      </c>
      <c r="F975">
        <v>100</v>
      </c>
      <c r="G975">
        <v>24.594201999999999</v>
      </c>
      <c r="H975">
        <v>1326.52</v>
      </c>
      <c r="I975">
        <v>7692020</v>
      </c>
      <c r="J975">
        <v>5.59</v>
      </c>
    </row>
    <row r="976" spans="1:10" x14ac:dyDescent="0.35">
      <c r="A976" t="s">
        <v>134</v>
      </c>
      <c r="B976" t="s">
        <v>135</v>
      </c>
      <c r="C976" t="s">
        <v>136</v>
      </c>
      <c r="D976">
        <v>2018</v>
      </c>
      <c r="E976">
        <v>100</v>
      </c>
      <c r="F976">
        <v>100</v>
      </c>
      <c r="G976">
        <v>24.966643000000001</v>
      </c>
      <c r="H976">
        <v>1428.29</v>
      </c>
      <c r="I976">
        <v>7692020</v>
      </c>
      <c r="J976">
        <v>5.3</v>
      </c>
    </row>
    <row r="977" spans="1:10" x14ac:dyDescent="0.35">
      <c r="A977" t="s">
        <v>134</v>
      </c>
      <c r="B977" t="s">
        <v>135</v>
      </c>
      <c r="C977" t="s">
        <v>136</v>
      </c>
      <c r="D977">
        <v>2019</v>
      </c>
      <c r="E977">
        <v>100</v>
      </c>
      <c r="F977">
        <v>100</v>
      </c>
      <c r="G977">
        <v>25.340216999999999</v>
      </c>
      <c r="H977">
        <v>1392.23</v>
      </c>
      <c r="I977">
        <v>7692020</v>
      </c>
      <c r="J977">
        <v>5.16</v>
      </c>
    </row>
    <row r="978" spans="1:10" x14ac:dyDescent="0.35">
      <c r="A978" t="s">
        <v>134</v>
      </c>
      <c r="B978" t="s">
        <v>135</v>
      </c>
      <c r="C978" t="s">
        <v>136</v>
      </c>
      <c r="D978">
        <v>2020</v>
      </c>
      <c r="E978">
        <v>100</v>
      </c>
      <c r="F978">
        <v>100</v>
      </c>
      <c r="G978">
        <v>25.655289</v>
      </c>
      <c r="H978">
        <v>1326.9</v>
      </c>
      <c r="I978">
        <v>7692020</v>
      </c>
      <c r="J978">
        <v>6.46</v>
      </c>
    </row>
    <row r="979" spans="1:10" x14ac:dyDescent="0.35">
      <c r="A979" t="s">
        <v>134</v>
      </c>
      <c r="B979" t="s">
        <v>135</v>
      </c>
      <c r="C979" t="s">
        <v>137</v>
      </c>
      <c r="D979">
        <v>2015</v>
      </c>
      <c r="E979">
        <v>100</v>
      </c>
      <c r="F979">
        <v>100</v>
      </c>
      <c r="G979">
        <v>4.6093999999999999</v>
      </c>
      <c r="H979">
        <v>178.06</v>
      </c>
      <c r="I979">
        <v>263310</v>
      </c>
      <c r="J979">
        <v>5.42</v>
      </c>
    </row>
    <row r="980" spans="1:10" x14ac:dyDescent="0.35">
      <c r="A980" t="s">
        <v>134</v>
      </c>
      <c r="B980" t="s">
        <v>135</v>
      </c>
      <c r="C980" t="s">
        <v>137</v>
      </c>
      <c r="D980">
        <v>2016</v>
      </c>
      <c r="E980">
        <v>100</v>
      </c>
      <c r="F980">
        <v>100</v>
      </c>
      <c r="G980">
        <v>4.7141000000000002</v>
      </c>
      <c r="H980">
        <v>188.84</v>
      </c>
      <c r="I980">
        <v>263310</v>
      </c>
      <c r="J980">
        <v>5.15</v>
      </c>
    </row>
    <row r="981" spans="1:10" x14ac:dyDescent="0.35">
      <c r="A981" t="s">
        <v>134</v>
      </c>
      <c r="B981" t="s">
        <v>135</v>
      </c>
      <c r="C981" t="s">
        <v>137</v>
      </c>
      <c r="D981">
        <v>2017</v>
      </c>
      <c r="E981">
        <v>100</v>
      </c>
      <c r="F981">
        <v>100</v>
      </c>
      <c r="G981">
        <v>4.8136000000000001</v>
      </c>
      <c r="H981">
        <v>206.62</v>
      </c>
      <c r="I981">
        <v>263310</v>
      </c>
      <c r="J981">
        <v>4.74</v>
      </c>
    </row>
    <row r="982" spans="1:10" x14ac:dyDescent="0.35">
      <c r="A982" t="s">
        <v>134</v>
      </c>
      <c r="B982" t="s">
        <v>135</v>
      </c>
      <c r="C982" t="s">
        <v>137</v>
      </c>
      <c r="D982">
        <v>2018</v>
      </c>
      <c r="E982">
        <v>100</v>
      </c>
      <c r="F982">
        <v>100</v>
      </c>
      <c r="G982">
        <v>4.9005999999999998</v>
      </c>
      <c r="H982">
        <v>211.95</v>
      </c>
      <c r="I982">
        <v>263310</v>
      </c>
      <c r="J982">
        <v>4.34</v>
      </c>
    </row>
    <row r="983" spans="1:10" x14ac:dyDescent="0.35">
      <c r="A983" t="s">
        <v>134</v>
      </c>
      <c r="B983" t="s">
        <v>135</v>
      </c>
      <c r="C983" t="s">
        <v>137</v>
      </c>
      <c r="D983">
        <v>2019</v>
      </c>
      <c r="E983">
        <v>100</v>
      </c>
      <c r="F983">
        <v>100</v>
      </c>
      <c r="G983">
        <v>4.9791999999999996</v>
      </c>
      <c r="H983">
        <v>213.43</v>
      </c>
      <c r="I983">
        <v>263310</v>
      </c>
      <c r="J983">
        <v>4.1100000000000003</v>
      </c>
    </row>
    <row r="984" spans="1:10" x14ac:dyDescent="0.35">
      <c r="A984" t="s">
        <v>134</v>
      </c>
      <c r="B984" t="s">
        <v>135</v>
      </c>
      <c r="C984" t="s">
        <v>137</v>
      </c>
      <c r="D984">
        <v>2020</v>
      </c>
      <c r="E984">
        <v>100</v>
      </c>
      <c r="F984">
        <v>100</v>
      </c>
      <c r="G984">
        <v>5.0902000000000003</v>
      </c>
      <c r="H984">
        <v>211.73</v>
      </c>
      <c r="I984">
        <v>263310</v>
      </c>
      <c r="J984">
        <v>4.5999999999999996</v>
      </c>
    </row>
    <row r="985" spans="1:10" x14ac:dyDescent="0.35">
      <c r="A985" t="s">
        <v>134</v>
      </c>
      <c r="B985" t="s">
        <v>144</v>
      </c>
      <c r="C985" t="s">
        <v>145</v>
      </c>
      <c r="D985">
        <v>2015</v>
      </c>
      <c r="E985">
        <v>100</v>
      </c>
      <c r="F985">
        <v>90</v>
      </c>
      <c r="G985">
        <v>0.16797799999999999</v>
      </c>
      <c r="H985">
        <v>5.8</v>
      </c>
      <c r="I985">
        <v>540</v>
      </c>
      <c r="J985">
        <v>6.9</v>
      </c>
    </row>
    <row r="986" spans="1:10" x14ac:dyDescent="0.35">
      <c r="A986" t="s">
        <v>134</v>
      </c>
      <c r="B986" t="s">
        <v>144</v>
      </c>
      <c r="C986" t="s">
        <v>145</v>
      </c>
      <c r="D986">
        <v>2016</v>
      </c>
      <c r="E986">
        <v>100</v>
      </c>
      <c r="F986">
        <v>90</v>
      </c>
      <c r="G986">
        <v>0.168346</v>
      </c>
      <c r="H986">
        <v>5.9</v>
      </c>
      <c r="I986">
        <v>540</v>
      </c>
      <c r="J986">
        <v>5.4</v>
      </c>
    </row>
    <row r="987" spans="1:10" x14ac:dyDescent="0.35">
      <c r="A987" t="s">
        <v>134</v>
      </c>
      <c r="B987" t="s">
        <v>144</v>
      </c>
      <c r="C987" t="s">
        <v>145</v>
      </c>
      <c r="D987">
        <v>2017</v>
      </c>
      <c r="E987">
        <v>100</v>
      </c>
      <c r="F987" t="s">
        <v>14</v>
      </c>
      <c r="G987">
        <v>0.16860600000000001</v>
      </c>
      <c r="H987">
        <v>6.01</v>
      </c>
      <c r="I987">
        <v>540</v>
      </c>
      <c r="J987" t="s">
        <v>14</v>
      </c>
    </row>
    <row r="988" spans="1:10" x14ac:dyDescent="0.35">
      <c r="A988" t="s">
        <v>134</v>
      </c>
      <c r="B988" t="s">
        <v>144</v>
      </c>
      <c r="C988" t="s">
        <v>145</v>
      </c>
      <c r="D988">
        <v>2018</v>
      </c>
      <c r="E988">
        <v>100</v>
      </c>
      <c r="F988" t="s">
        <v>14</v>
      </c>
      <c r="G988">
        <v>0.16867799999999999</v>
      </c>
      <c r="H988">
        <v>6.06</v>
      </c>
      <c r="I988">
        <v>540</v>
      </c>
      <c r="J988" t="s">
        <v>14</v>
      </c>
    </row>
    <row r="989" spans="1:10" x14ac:dyDescent="0.35">
      <c r="A989" t="s">
        <v>134</v>
      </c>
      <c r="B989" t="s">
        <v>144</v>
      </c>
      <c r="C989" t="s">
        <v>145</v>
      </c>
      <c r="D989">
        <v>2019</v>
      </c>
      <c r="E989">
        <v>100</v>
      </c>
      <c r="F989" t="s">
        <v>14</v>
      </c>
      <c r="G989">
        <v>0.168624</v>
      </c>
      <c r="H989">
        <v>6.37</v>
      </c>
      <c r="I989">
        <v>540</v>
      </c>
      <c r="J989" t="s">
        <v>14</v>
      </c>
    </row>
    <row r="990" spans="1:10" x14ac:dyDescent="0.35">
      <c r="A990" t="s">
        <v>134</v>
      </c>
      <c r="B990" t="s">
        <v>144</v>
      </c>
      <c r="C990" t="s">
        <v>145</v>
      </c>
      <c r="D990">
        <v>2020</v>
      </c>
      <c r="E990">
        <v>100</v>
      </c>
      <c r="F990" t="s">
        <v>14</v>
      </c>
      <c r="G990">
        <v>0.16923099999999999</v>
      </c>
      <c r="H990">
        <v>5.89</v>
      </c>
      <c r="I990">
        <v>540</v>
      </c>
      <c r="J990" t="s">
        <v>14</v>
      </c>
    </row>
    <row r="991" spans="1:10" x14ac:dyDescent="0.35">
      <c r="A991" t="s">
        <v>134</v>
      </c>
      <c r="B991" t="s">
        <v>144</v>
      </c>
      <c r="C991" t="s">
        <v>149</v>
      </c>
      <c r="D991">
        <v>2015</v>
      </c>
      <c r="E991">
        <v>100</v>
      </c>
      <c r="F991">
        <v>66</v>
      </c>
      <c r="G991">
        <v>1.1185E-2</v>
      </c>
      <c r="H991">
        <v>0.09</v>
      </c>
      <c r="I991">
        <v>20</v>
      </c>
      <c r="J991" t="s">
        <v>14</v>
      </c>
    </row>
    <row r="992" spans="1:10" x14ac:dyDescent="0.35">
      <c r="A992" t="s">
        <v>134</v>
      </c>
      <c r="B992" t="s">
        <v>144</v>
      </c>
      <c r="C992" t="s">
        <v>149</v>
      </c>
      <c r="D992">
        <v>2016</v>
      </c>
      <c r="E992">
        <v>100</v>
      </c>
      <c r="F992">
        <v>66</v>
      </c>
      <c r="G992">
        <v>1.1436999999999999E-2</v>
      </c>
      <c r="H992">
        <v>0.1</v>
      </c>
      <c r="I992">
        <v>20</v>
      </c>
      <c r="J992" t="s">
        <v>14</v>
      </c>
    </row>
    <row r="993" spans="1:10" x14ac:dyDescent="0.35">
      <c r="A993" t="s">
        <v>134</v>
      </c>
      <c r="B993" t="s">
        <v>144</v>
      </c>
      <c r="C993" t="s">
        <v>149</v>
      </c>
      <c r="D993">
        <v>2017</v>
      </c>
      <c r="E993">
        <v>100</v>
      </c>
      <c r="F993">
        <v>66</v>
      </c>
      <c r="G993">
        <v>1.1682E-2</v>
      </c>
      <c r="H993">
        <v>0.11</v>
      </c>
      <c r="I993">
        <v>20</v>
      </c>
      <c r="J993" t="s">
        <v>14</v>
      </c>
    </row>
    <row r="994" spans="1:10" x14ac:dyDescent="0.35">
      <c r="A994" t="s">
        <v>134</v>
      </c>
      <c r="B994" t="s">
        <v>144</v>
      </c>
      <c r="C994" t="s">
        <v>149</v>
      </c>
      <c r="D994">
        <v>2018</v>
      </c>
      <c r="E994">
        <v>100</v>
      </c>
      <c r="F994" t="s">
        <v>14</v>
      </c>
      <c r="G994">
        <v>1.1924000000000001E-2</v>
      </c>
      <c r="H994">
        <v>0.12</v>
      </c>
      <c r="I994">
        <v>20</v>
      </c>
      <c r="J994" t="s">
        <v>14</v>
      </c>
    </row>
    <row r="995" spans="1:10" x14ac:dyDescent="0.35">
      <c r="A995" t="s">
        <v>134</v>
      </c>
      <c r="B995" t="s">
        <v>144</v>
      </c>
      <c r="C995" t="s">
        <v>149</v>
      </c>
      <c r="D995">
        <v>2019</v>
      </c>
      <c r="E995">
        <v>100</v>
      </c>
      <c r="F995" t="s">
        <v>14</v>
      </c>
      <c r="G995">
        <v>1.2132E-2</v>
      </c>
      <c r="H995">
        <v>0.12</v>
      </c>
      <c r="I995">
        <v>20</v>
      </c>
      <c r="J995" t="s">
        <v>14</v>
      </c>
    </row>
    <row r="996" spans="1:10" x14ac:dyDescent="0.35">
      <c r="A996" t="s">
        <v>134</v>
      </c>
      <c r="B996" t="s">
        <v>144</v>
      </c>
      <c r="C996" t="s">
        <v>149</v>
      </c>
      <c r="D996">
        <v>2020</v>
      </c>
      <c r="E996">
        <v>100</v>
      </c>
      <c r="F996" t="s">
        <v>14</v>
      </c>
      <c r="G996">
        <v>1.2315E-2</v>
      </c>
      <c r="H996">
        <v>0.11</v>
      </c>
      <c r="I996">
        <v>20</v>
      </c>
      <c r="J996" t="s">
        <v>14</v>
      </c>
    </row>
    <row r="997" spans="1:10" x14ac:dyDescent="0.35">
      <c r="A997" t="s">
        <v>134</v>
      </c>
      <c r="B997" t="s">
        <v>144</v>
      </c>
      <c r="C997" t="s">
        <v>150</v>
      </c>
      <c r="D997">
        <v>2015</v>
      </c>
      <c r="E997">
        <v>100</v>
      </c>
      <c r="F997">
        <v>78</v>
      </c>
      <c r="G997">
        <v>5.1513999999999997E-2</v>
      </c>
      <c r="H997">
        <v>0.91</v>
      </c>
      <c r="I997">
        <v>460</v>
      </c>
      <c r="J997" t="s">
        <v>14</v>
      </c>
    </row>
    <row r="998" spans="1:10" x14ac:dyDescent="0.35">
      <c r="A998" t="s">
        <v>134</v>
      </c>
      <c r="B998" t="s">
        <v>144</v>
      </c>
      <c r="C998" t="s">
        <v>150</v>
      </c>
      <c r="D998">
        <v>2016</v>
      </c>
      <c r="E998">
        <v>100</v>
      </c>
      <c r="F998">
        <v>79</v>
      </c>
      <c r="G998">
        <v>5.1132999999999998E-2</v>
      </c>
      <c r="H998">
        <v>1.23</v>
      </c>
      <c r="I998">
        <v>460</v>
      </c>
      <c r="J998" t="s">
        <v>14</v>
      </c>
    </row>
    <row r="999" spans="1:10" x14ac:dyDescent="0.35">
      <c r="A999" t="s">
        <v>134</v>
      </c>
      <c r="B999" t="s">
        <v>144</v>
      </c>
      <c r="C999" t="s">
        <v>150</v>
      </c>
      <c r="D999">
        <v>2017</v>
      </c>
      <c r="E999">
        <v>100</v>
      </c>
      <c r="F999">
        <v>79</v>
      </c>
      <c r="G999">
        <v>5.0729000000000003E-2</v>
      </c>
      <c r="H999">
        <v>1.56</v>
      </c>
      <c r="I999">
        <v>460</v>
      </c>
      <c r="J999" t="s">
        <v>14</v>
      </c>
    </row>
    <row r="1000" spans="1:10" x14ac:dyDescent="0.35">
      <c r="A1000" t="s">
        <v>134</v>
      </c>
      <c r="B1000" t="s">
        <v>144</v>
      </c>
      <c r="C1000" t="s">
        <v>150</v>
      </c>
      <c r="D1000">
        <v>2018</v>
      </c>
      <c r="E1000">
        <v>100</v>
      </c>
      <c r="F1000">
        <v>79</v>
      </c>
      <c r="G1000">
        <v>5.0304000000000001E-2</v>
      </c>
      <c r="H1000">
        <v>1.3</v>
      </c>
      <c r="I1000">
        <v>460</v>
      </c>
      <c r="J1000" t="s">
        <v>14</v>
      </c>
    </row>
    <row r="1001" spans="1:10" x14ac:dyDescent="0.35">
      <c r="A1001" t="s">
        <v>134</v>
      </c>
      <c r="B1001" t="s">
        <v>144</v>
      </c>
      <c r="C1001" t="s">
        <v>150</v>
      </c>
      <c r="D1001">
        <v>2019</v>
      </c>
      <c r="E1001">
        <v>100</v>
      </c>
      <c r="F1001">
        <v>79</v>
      </c>
      <c r="G1001">
        <v>4.9858E-2</v>
      </c>
      <c r="H1001">
        <v>1.18</v>
      </c>
      <c r="I1001">
        <v>460</v>
      </c>
      <c r="J1001" t="s">
        <v>14</v>
      </c>
    </row>
    <row r="1002" spans="1:10" x14ac:dyDescent="0.35">
      <c r="A1002" t="s">
        <v>134</v>
      </c>
      <c r="B1002" t="s">
        <v>144</v>
      </c>
      <c r="C1002" t="s">
        <v>150</v>
      </c>
      <c r="D1002">
        <v>2020</v>
      </c>
      <c r="E1002">
        <v>100</v>
      </c>
      <c r="F1002">
        <v>79</v>
      </c>
      <c r="G1002">
        <v>4.9586999999999999E-2</v>
      </c>
      <c r="H1002" t="s">
        <v>14</v>
      </c>
      <c r="I1002">
        <v>460</v>
      </c>
      <c r="J1002" t="s">
        <v>14</v>
      </c>
    </row>
    <row r="1003" spans="1:10" x14ac:dyDescent="0.35">
      <c r="A1003" t="s">
        <v>134</v>
      </c>
      <c r="B1003" t="s">
        <v>144</v>
      </c>
      <c r="C1003" t="s">
        <v>151</v>
      </c>
      <c r="D1003">
        <v>2015</v>
      </c>
      <c r="E1003">
        <v>100</v>
      </c>
      <c r="F1003">
        <v>98.33</v>
      </c>
      <c r="G1003">
        <v>1.7794000000000001E-2</v>
      </c>
      <c r="H1003">
        <v>0.28000000000000003</v>
      </c>
      <c r="I1003">
        <v>460</v>
      </c>
      <c r="J1003" t="s">
        <v>14</v>
      </c>
    </row>
    <row r="1004" spans="1:10" x14ac:dyDescent="0.35">
      <c r="A1004" t="s">
        <v>134</v>
      </c>
      <c r="B1004" t="s">
        <v>144</v>
      </c>
      <c r="C1004" t="s">
        <v>151</v>
      </c>
      <c r="D1004">
        <v>2016</v>
      </c>
      <c r="E1004">
        <v>100</v>
      </c>
      <c r="F1004">
        <v>99</v>
      </c>
      <c r="G1004">
        <v>1.7815999999999999E-2</v>
      </c>
      <c r="H1004">
        <v>0.3</v>
      </c>
      <c r="I1004">
        <v>460</v>
      </c>
      <c r="J1004" t="s">
        <v>14</v>
      </c>
    </row>
    <row r="1005" spans="1:10" x14ac:dyDescent="0.35">
      <c r="A1005" t="s">
        <v>134</v>
      </c>
      <c r="B1005" t="s">
        <v>144</v>
      </c>
      <c r="C1005" t="s">
        <v>151</v>
      </c>
      <c r="D1005">
        <v>2017</v>
      </c>
      <c r="E1005">
        <v>100</v>
      </c>
      <c r="F1005">
        <v>99.67</v>
      </c>
      <c r="G1005">
        <v>1.7836999999999999E-2</v>
      </c>
      <c r="H1005">
        <v>0.28999999999999998</v>
      </c>
      <c r="I1005">
        <v>460</v>
      </c>
      <c r="J1005" t="s">
        <v>14</v>
      </c>
    </row>
    <row r="1006" spans="1:10" x14ac:dyDescent="0.35">
      <c r="A1006" t="s">
        <v>134</v>
      </c>
      <c r="B1006" t="s">
        <v>144</v>
      </c>
      <c r="C1006" t="s">
        <v>151</v>
      </c>
      <c r="D1006">
        <v>2018</v>
      </c>
      <c r="E1006">
        <v>100</v>
      </c>
      <c r="F1006">
        <v>99.67</v>
      </c>
      <c r="G1006">
        <v>1.7864000000000001E-2</v>
      </c>
      <c r="H1006">
        <v>0.28000000000000003</v>
      </c>
      <c r="I1006">
        <v>460</v>
      </c>
      <c r="J1006" t="s">
        <v>14</v>
      </c>
    </row>
    <row r="1007" spans="1:10" x14ac:dyDescent="0.35">
      <c r="A1007" t="s">
        <v>134</v>
      </c>
      <c r="B1007" t="s">
        <v>144</v>
      </c>
      <c r="C1007" t="s">
        <v>151</v>
      </c>
      <c r="D1007">
        <v>2019</v>
      </c>
      <c r="E1007">
        <v>100</v>
      </c>
      <c r="F1007">
        <v>99.67</v>
      </c>
      <c r="G1007">
        <v>1.7916000000000001E-2</v>
      </c>
      <c r="H1007">
        <v>0.28000000000000003</v>
      </c>
      <c r="I1007">
        <v>460</v>
      </c>
      <c r="J1007" t="s">
        <v>14</v>
      </c>
    </row>
    <row r="1008" spans="1:10" x14ac:dyDescent="0.35">
      <c r="A1008" t="s">
        <v>134</v>
      </c>
      <c r="B1008" t="s">
        <v>144</v>
      </c>
      <c r="C1008" t="s">
        <v>151</v>
      </c>
      <c r="D1008">
        <v>2020</v>
      </c>
      <c r="E1008">
        <v>100</v>
      </c>
      <c r="F1008">
        <v>99.67</v>
      </c>
      <c r="G1008">
        <v>1.7971999999999998E-2</v>
      </c>
      <c r="H1008">
        <v>0.25</v>
      </c>
      <c r="I1008">
        <v>460</v>
      </c>
      <c r="J1008">
        <v>0.77</v>
      </c>
    </row>
    <row r="1009" spans="1:10" x14ac:dyDescent="0.35">
      <c r="A1009" t="s">
        <v>134</v>
      </c>
      <c r="B1009" t="s">
        <v>152</v>
      </c>
      <c r="C1009" t="s">
        <v>153</v>
      </c>
      <c r="D1009">
        <v>2015</v>
      </c>
      <c r="E1009">
        <v>100</v>
      </c>
      <c r="F1009">
        <v>57</v>
      </c>
      <c r="G1009">
        <v>5.1367999999999997E-2</v>
      </c>
      <c r="H1009">
        <v>0.67</v>
      </c>
      <c r="I1009">
        <v>200</v>
      </c>
      <c r="J1009" t="s">
        <v>14</v>
      </c>
    </row>
    <row r="1010" spans="1:10" x14ac:dyDescent="0.35">
      <c r="A1010" t="s">
        <v>134</v>
      </c>
      <c r="B1010" t="s">
        <v>152</v>
      </c>
      <c r="C1010" t="s">
        <v>153</v>
      </c>
      <c r="D1010">
        <v>2016</v>
      </c>
      <c r="E1010">
        <v>100</v>
      </c>
      <c r="F1010">
        <v>56</v>
      </c>
      <c r="G1010">
        <v>5.0448E-2</v>
      </c>
      <c r="H1010">
        <v>0.67</v>
      </c>
      <c r="I1010">
        <v>200</v>
      </c>
      <c r="J1010" t="s">
        <v>14</v>
      </c>
    </row>
    <row r="1011" spans="1:10" x14ac:dyDescent="0.35">
      <c r="A1011" t="s">
        <v>134</v>
      </c>
      <c r="B1011" t="s">
        <v>152</v>
      </c>
      <c r="C1011" t="s">
        <v>153</v>
      </c>
      <c r="D1011">
        <v>2017</v>
      </c>
      <c r="E1011">
        <v>100</v>
      </c>
      <c r="F1011">
        <v>54</v>
      </c>
      <c r="G1011">
        <v>4.9463E-2</v>
      </c>
      <c r="H1011">
        <v>0.61</v>
      </c>
      <c r="I1011">
        <v>200</v>
      </c>
      <c r="J1011" t="s">
        <v>14</v>
      </c>
    </row>
    <row r="1012" spans="1:10" x14ac:dyDescent="0.35">
      <c r="A1012" t="s">
        <v>134</v>
      </c>
      <c r="B1012" t="s">
        <v>152</v>
      </c>
      <c r="C1012" t="s">
        <v>153</v>
      </c>
      <c r="D1012">
        <v>2018</v>
      </c>
      <c r="E1012">
        <v>100</v>
      </c>
      <c r="F1012">
        <v>54</v>
      </c>
      <c r="G1012">
        <v>4.8424000000000002E-2</v>
      </c>
      <c r="H1012">
        <v>0.64</v>
      </c>
      <c r="I1012">
        <v>200</v>
      </c>
      <c r="J1012" t="s">
        <v>14</v>
      </c>
    </row>
    <row r="1013" spans="1:10" x14ac:dyDescent="0.35">
      <c r="A1013" t="s">
        <v>134</v>
      </c>
      <c r="B1013" t="s">
        <v>152</v>
      </c>
      <c r="C1013" t="s">
        <v>153</v>
      </c>
      <c r="D1013">
        <v>2019</v>
      </c>
      <c r="E1013">
        <v>100</v>
      </c>
      <c r="F1013">
        <v>54</v>
      </c>
      <c r="G1013">
        <v>4.7321000000000002E-2</v>
      </c>
      <c r="H1013">
        <v>0.65</v>
      </c>
      <c r="I1013">
        <v>200</v>
      </c>
      <c r="J1013" t="s">
        <v>14</v>
      </c>
    </row>
    <row r="1014" spans="1:10" x14ac:dyDescent="0.35">
      <c r="A1014" t="s">
        <v>134</v>
      </c>
      <c r="B1014" t="s">
        <v>152</v>
      </c>
      <c r="C1014" t="s">
        <v>153</v>
      </c>
      <c r="D1014">
        <v>2020</v>
      </c>
      <c r="E1014">
        <v>100</v>
      </c>
      <c r="F1014">
        <v>54</v>
      </c>
      <c r="G1014">
        <v>4.6189000000000001E-2</v>
      </c>
      <c r="H1014">
        <v>0.72</v>
      </c>
      <c r="I1014">
        <v>200</v>
      </c>
      <c r="J1014" t="s">
        <v>14</v>
      </c>
    </row>
    <row r="1015" spans="1:10" x14ac:dyDescent="0.35">
      <c r="A1015" t="s">
        <v>134</v>
      </c>
      <c r="B1015" t="s">
        <v>152</v>
      </c>
      <c r="C1015" t="s">
        <v>154</v>
      </c>
      <c r="D1015">
        <v>2015</v>
      </c>
      <c r="E1015">
        <v>100</v>
      </c>
      <c r="F1015">
        <v>98</v>
      </c>
      <c r="G1015" t="s">
        <v>14</v>
      </c>
      <c r="H1015" t="s">
        <v>14</v>
      </c>
      <c r="I1015" t="s">
        <v>14</v>
      </c>
      <c r="J1015" t="s">
        <v>14</v>
      </c>
    </row>
    <row r="1016" spans="1:10" x14ac:dyDescent="0.35">
      <c r="A1016" t="s">
        <v>134</v>
      </c>
      <c r="B1016" t="s">
        <v>152</v>
      </c>
      <c r="C1016" t="s">
        <v>154</v>
      </c>
      <c r="D1016">
        <v>2016</v>
      </c>
      <c r="E1016">
        <v>100</v>
      </c>
      <c r="F1016">
        <v>98</v>
      </c>
      <c r="G1016" t="s">
        <v>14</v>
      </c>
      <c r="H1016" t="s">
        <v>14</v>
      </c>
      <c r="I1016" t="s">
        <v>14</v>
      </c>
      <c r="J1016" t="s">
        <v>14</v>
      </c>
    </row>
    <row r="1017" spans="1:10" x14ac:dyDescent="0.35">
      <c r="A1017" t="s">
        <v>134</v>
      </c>
      <c r="B1017" t="s">
        <v>152</v>
      </c>
      <c r="C1017" t="s">
        <v>154</v>
      </c>
      <c r="D1017">
        <v>2017</v>
      </c>
      <c r="E1017">
        <v>100</v>
      </c>
      <c r="F1017">
        <v>99</v>
      </c>
      <c r="G1017" t="s">
        <v>14</v>
      </c>
      <c r="H1017" t="s">
        <v>14</v>
      </c>
      <c r="I1017" t="s">
        <v>14</v>
      </c>
      <c r="J1017" t="s">
        <v>14</v>
      </c>
    </row>
    <row r="1018" spans="1:10" x14ac:dyDescent="0.35">
      <c r="A1018" t="s">
        <v>134</v>
      </c>
      <c r="B1018" t="s">
        <v>152</v>
      </c>
      <c r="C1018" t="s">
        <v>154</v>
      </c>
      <c r="D1018">
        <v>2018</v>
      </c>
      <c r="E1018">
        <v>100</v>
      </c>
      <c r="F1018">
        <v>99</v>
      </c>
      <c r="G1018" t="s">
        <v>14</v>
      </c>
      <c r="H1018" t="s">
        <v>14</v>
      </c>
      <c r="I1018" t="s">
        <v>14</v>
      </c>
      <c r="J1018" t="s">
        <v>14</v>
      </c>
    </row>
    <row r="1019" spans="1:10" x14ac:dyDescent="0.35">
      <c r="A1019" t="s">
        <v>134</v>
      </c>
      <c r="B1019" t="s">
        <v>152</v>
      </c>
      <c r="C1019" t="s">
        <v>154</v>
      </c>
      <c r="D1019">
        <v>2019</v>
      </c>
      <c r="E1019">
        <v>100</v>
      </c>
      <c r="F1019">
        <v>99</v>
      </c>
      <c r="G1019" t="s">
        <v>14</v>
      </c>
      <c r="H1019" t="s">
        <v>14</v>
      </c>
      <c r="I1019" t="s">
        <v>14</v>
      </c>
      <c r="J1019" t="s">
        <v>14</v>
      </c>
    </row>
    <row r="1020" spans="1:10" x14ac:dyDescent="0.35">
      <c r="A1020" t="s">
        <v>134</v>
      </c>
      <c r="B1020" t="s">
        <v>152</v>
      </c>
      <c r="C1020" t="s">
        <v>154</v>
      </c>
      <c r="D1020">
        <v>2020</v>
      </c>
      <c r="E1020">
        <v>100</v>
      </c>
      <c r="F1020">
        <v>99</v>
      </c>
      <c r="G1020" t="s">
        <v>14</v>
      </c>
      <c r="H1020" t="s">
        <v>14</v>
      </c>
      <c r="I1020" t="s">
        <v>14</v>
      </c>
      <c r="J1020" t="s">
        <v>14</v>
      </c>
    </row>
    <row r="1021" spans="1:10" x14ac:dyDescent="0.35">
      <c r="A1021" t="s">
        <v>134</v>
      </c>
      <c r="B1021" t="s">
        <v>152</v>
      </c>
      <c r="C1021" t="s">
        <v>155</v>
      </c>
      <c r="D1021">
        <v>2015</v>
      </c>
      <c r="E1021">
        <v>100</v>
      </c>
      <c r="F1021">
        <v>97</v>
      </c>
      <c r="G1021">
        <v>0.29178700000000002</v>
      </c>
      <c r="H1021">
        <v>5.33</v>
      </c>
      <c r="I1021">
        <v>3471</v>
      </c>
      <c r="J1021" t="s">
        <v>14</v>
      </c>
    </row>
    <row r="1022" spans="1:10" x14ac:dyDescent="0.35">
      <c r="A1022" t="s">
        <v>134</v>
      </c>
      <c r="B1022" t="s">
        <v>152</v>
      </c>
      <c r="C1022" t="s">
        <v>155</v>
      </c>
      <c r="D1022">
        <v>2016</v>
      </c>
      <c r="E1022">
        <v>100</v>
      </c>
      <c r="F1022">
        <v>97</v>
      </c>
      <c r="G1022">
        <v>0.293541</v>
      </c>
      <c r="H1022">
        <v>5.5</v>
      </c>
      <c r="I1022">
        <v>3471</v>
      </c>
      <c r="J1022" t="s">
        <v>14</v>
      </c>
    </row>
    <row r="1023" spans="1:10" x14ac:dyDescent="0.35">
      <c r="A1023" t="s">
        <v>134</v>
      </c>
      <c r="B1023" t="s">
        <v>152</v>
      </c>
      <c r="C1023" t="s">
        <v>155</v>
      </c>
      <c r="D1023">
        <v>2017</v>
      </c>
      <c r="E1023">
        <v>100</v>
      </c>
      <c r="F1023">
        <v>97</v>
      </c>
      <c r="G1023">
        <v>0.29544999999999999</v>
      </c>
      <c r="H1023">
        <v>5.83</v>
      </c>
      <c r="I1023">
        <v>3471</v>
      </c>
      <c r="J1023" t="s">
        <v>14</v>
      </c>
    </row>
    <row r="1024" spans="1:10" x14ac:dyDescent="0.35">
      <c r="A1024" t="s">
        <v>134</v>
      </c>
      <c r="B1024" t="s">
        <v>152</v>
      </c>
      <c r="C1024" t="s">
        <v>155</v>
      </c>
      <c r="D1024">
        <v>2018</v>
      </c>
      <c r="E1024">
        <v>100</v>
      </c>
      <c r="F1024">
        <v>97</v>
      </c>
      <c r="G1024">
        <v>0.29760599999999998</v>
      </c>
      <c r="H1024">
        <v>6.14</v>
      </c>
      <c r="I1024">
        <v>3471</v>
      </c>
      <c r="J1024" t="s">
        <v>14</v>
      </c>
    </row>
    <row r="1025" spans="1:10" x14ac:dyDescent="0.35">
      <c r="A1025" t="s">
        <v>134</v>
      </c>
      <c r="B1025" t="s">
        <v>152</v>
      </c>
      <c r="C1025" t="s">
        <v>155</v>
      </c>
      <c r="D1025">
        <v>2019</v>
      </c>
      <c r="E1025">
        <v>100</v>
      </c>
      <c r="F1025">
        <v>97</v>
      </c>
      <c r="G1025">
        <v>0.29971700000000001</v>
      </c>
      <c r="H1025">
        <v>6</v>
      </c>
      <c r="I1025">
        <v>3471</v>
      </c>
      <c r="J1025" t="s">
        <v>14</v>
      </c>
    </row>
    <row r="1026" spans="1:10" x14ac:dyDescent="0.35">
      <c r="A1026" t="s">
        <v>134</v>
      </c>
      <c r="B1026" t="s">
        <v>152</v>
      </c>
      <c r="C1026" t="s">
        <v>155</v>
      </c>
      <c r="D1026">
        <v>2020</v>
      </c>
      <c r="E1026">
        <v>100</v>
      </c>
      <c r="F1026">
        <v>97</v>
      </c>
      <c r="G1026">
        <v>0.30192000000000002</v>
      </c>
      <c r="H1026">
        <v>5.71</v>
      </c>
      <c r="I1026">
        <v>3471</v>
      </c>
      <c r="J1026" t="s">
        <v>14</v>
      </c>
    </row>
    <row r="1027" spans="1:10" x14ac:dyDescent="0.35">
      <c r="A1027" t="s">
        <v>134</v>
      </c>
      <c r="B1027" t="s">
        <v>152</v>
      </c>
      <c r="C1027" t="s">
        <v>158</v>
      </c>
      <c r="D1027">
        <v>2016</v>
      </c>
      <c r="E1027">
        <v>100</v>
      </c>
      <c r="F1027">
        <v>96</v>
      </c>
      <c r="G1027" t="s">
        <v>14</v>
      </c>
      <c r="H1027" t="s">
        <v>14</v>
      </c>
      <c r="I1027" t="s">
        <v>14</v>
      </c>
      <c r="J1027" t="s">
        <v>14</v>
      </c>
    </row>
    <row r="1028" spans="1:10" x14ac:dyDescent="0.35">
      <c r="A1028" t="s">
        <v>134</v>
      </c>
      <c r="B1028" t="s">
        <v>152</v>
      </c>
      <c r="C1028" t="s">
        <v>158</v>
      </c>
      <c r="D1028">
        <v>2017</v>
      </c>
      <c r="E1028">
        <v>100</v>
      </c>
      <c r="F1028">
        <v>97</v>
      </c>
      <c r="G1028" t="s">
        <v>14</v>
      </c>
      <c r="H1028" t="s">
        <v>14</v>
      </c>
      <c r="I1028" t="s">
        <v>14</v>
      </c>
      <c r="J1028" t="s">
        <v>14</v>
      </c>
    </row>
    <row r="1029" spans="1:10" x14ac:dyDescent="0.35">
      <c r="A1029" t="s">
        <v>134</v>
      </c>
      <c r="B1029" t="s">
        <v>152</v>
      </c>
      <c r="C1029" t="s">
        <v>158</v>
      </c>
      <c r="D1029">
        <v>2018</v>
      </c>
      <c r="E1029">
        <v>100</v>
      </c>
      <c r="F1029">
        <v>97</v>
      </c>
      <c r="G1029" t="s">
        <v>14</v>
      </c>
      <c r="H1029" t="s">
        <v>14</v>
      </c>
      <c r="I1029" t="s">
        <v>14</v>
      </c>
      <c r="J1029" t="s">
        <v>14</v>
      </c>
    </row>
    <row r="1030" spans="1:10" x14ac:dyDescent="0.35">
      <c r="A1030" t="s">
        <v>134</v>
      </c>
      <c r="B1030" t="s">
        <v>152</v>
      </c>
      <c r="C1030" t="s">
        <v>158</v>
      </c>
      <c r="D1030">
        <v>2019</v>
      </c>
      <c r="E1030">
        <v>100</v>
      </c>
      <c r="F1030">
        <v>97</v>
      </c>
      <c r="G1030" t="s">
        <v>14</v>
      </c>
      <c r="H1030" t="s">
        <v>14</v>
      </c>
      <c r="I1030" t="s">
        <v>14</v>
      </c>
      <c r="J1030" t="s">
        <v>14</v>
      </c>
    </row>
    <row r="1031" spans="1:10" x14ac:dyDescent="0.35">
      <c r="A1031" t="s">
        <v>134</v>
      </c>
      <c r="B1031" t="s">
        <v>152</v>
      </c>
      <c r="C1031" t="s">
        <v>158</v>
      </c>
      <c r="D1031">
        <v>2020</v>
      </c>
      <c r="E1031">
        <v>100</v>
      </c>
      <c r="F1031">
        <v>97</v>
      </c>
      <c r="G1031" t="s">
        <v>14</v>
      </c>
      <c r="H1031" t="s">
        <v>14</v>
      </c>
      <c r="I1031" t="s">
        <v>14</v>
      </c>
      <c r="J1031" t="s">
        <v>14</v>
      </c>
    </row>
    <row r="1032" spans="1:10" x14ac:dyDescent="0.35">
      <c r="A1032" t="s">
        <v>134</v>
      </c>
      <c r="B1032" t="s">
        <v>152</v>
      </c>
      <c r="C1032" t="s">
        <v>160</v>
      </c>
      <c r="D1032">
        <v>2015</v>
      </c>
      <c r="E1032">
        <v>100</v>
      </c>
      <c r="F1032">
        <v>83.67</v>
      </c>
      <c r="G1032">
        <v>1.0877E-2</v>
      </c>
      <c r="H1032">
        <v>0.04</v>
      </c>
      <c r="I1032">
        <v>30</v>
      </c>
      <c r="J1032" t="s">
        <v>14</v>
      </c>
    </row>
    <row r="1033" spans="1:10" x14ac:dyDescent="0.35">
      <c r="A1033" t="s">
        <v>134</v>
      </c>
      <c r="B1033" t="s">
        <v>152</v>
      </c>
      <c r="C1033" t="s">
        <v>160</v>
      </c>
      <c r="D1033">
        <v>2016</v>
      </c>
      <c r="E1033">
        <v>100</v>
      </c>
      <c r="F1033">
        <v>83.67</v>
      </c>
      <c r="G1033">
        <v>1.0852000000000001E-2</v>
      </c>
      <c r="H1033">
        <v>0.04</v>
      </c>
      <c r="I1033">
        <v>30</v>
      </c>
      <c r="J1033">
        <v>8.49</v>
      </c>
    </row>
    <row r="1034" spans="1:10" x14ac:dyDescent="0.35">
      <c r="A1034" t="s">
        <v>134</v>
      </c>
      <c r="B1034" t="s">
        <v>152</v>
      </c>
      <c r="C1034" t="s">
        <v>160</v>
      </c>
      <c r="D1034">
        <v>2017</v>
      </c>
      <c r="E1034">
        <v>100</v>
      </c>
      <c r="F1034">
        <v>83.67</v>
      </c>
      <c r="G1034">
        <v>1.0828000000000001E-2</v>
      </c>
      <c r="H1034">
        <v>0.05</v>
      </c>
      <c r="I1034">
        <v>30</v>
      </c>
      <c r="J1034">
        <v>26.55</v>
      </c>
    </row>
    <row r="1035" spans="1:10" x14ac:dyDescent="0.35">
      <c r="A1035" t="s">
        <v>134</v>
      </c>
      <c r="B1035" t="s">
        <v>152</v>
      </c>
      <c r="C1035" t="s">
        <v>160</v>
      </c>
      <c r="D1035">
        <v>2018</v>
      </c>
      <c r="E1035">
        <v>100</v>
      </c>
      <c r="F1035">
        <v>83.67</v>
      </c>
      <c r="G1035">
        <v>1.0865E-2</v>
      </c>
      <c r="H1035">
        <v>0.05</v>
      </c>
      <c r="I1035">
        <v>30</v>
      </c>
      <c r="J1035" t="s">
        <v>14</v>
      </c>
    </row>
    <row r="1036" spans="1:10" x14ac:dyDescent="0.35">
      <c r="A1036" t="s">
        <v>134</v>
      </c>
      <c r="B1036" t="s">
        <v>152</v>
      </c>
      <c r="C1036" t="s">
        <v>160</v>
      </c>
      <c r="D1036">
        <v>2019</v>
      </c>
      <c r="E1036">
        <v>100</v>
      </c>
      <c r="F1036" t="s">
        <v>14</v>
      </c>
      <c r="G1036">
        <v>1.0956E-2</v>
      </c>
      <c r="H1036">
        <v>0.05</v>
      </c>
      <c r="I1036">
        <v>30</v>
      </c>
      <c r="J1036" t="s">
        <v>14</v>
      </c>
    </row>
    <row r="1037" spans="1:10" x14ac:dyDescent="0.35">
      <c r="A1037" t="s">
        <v>134</v>
      </c>
      <c r="B1037" t="s">
        <v>152</v>
      </c>
      <c r="C1037" t="s">
        <v>160</v>
      </c>
      <c r="D1037">
        <v>2020</v>
      </c>
      <c r="E1037">
        <v>100</v>
      </c>
      <c r="F1037" t="s">
        <v>14</v>
      </c>
      <c r="G1037">
        <v>1.1069000000000001E-2</v>
      </c>
      <c r="H1037">
        <v>0.06</v>
      </c>
      <c r="I1037">
        <v>30</v>
      </c>
      <c r="J1037" t="s">
        <v>14</v>
      </c>
    </row>
    <row r="1038" spans="1:10" x14ac:dyDescent="0.35">
      <c r="A1038" t="s">
        <v>162</v>
      </c>
      <c r="B1038" t="s">
        <v>163</v>
      </c>
      <c r="C1038" t="s">
        <v>172</v>
      </c>
      <c r="D1038">
        <v>2015</v>
      </c>
      <c r="E1038">
        <v>100</v>
      </c>
      <c r="F1038">
        <v>95.67</v>
      </c>
      <c r="G1038">
        <v>1.262605</v>
      </c>
      <c r="H1038">
        <v>12.01</v>
      </c>
      <c r="I1038">
        <v>2030</v>
      </c>
      <c r="J1038">
        <v>7.41</v>
      </c>
    </row>
    <row r="1039" spans="1:10" x14ac:dyDescent="0.35">
      <c r="A1039" t="s">
        <v>162</v>
      </c>
      <c r="B1039" t="s">
        <v>163</v>
      </c>
      <c r="C1039" t="s">
        <v>172</v>
      </c>
      <c r="D1039">
        <v>2016</v>
      </c>
      <c r="E1039">
        <v>100</v>
      </c>
      <c r="F1039">
        <v>95.67</v>
      </c>
      <c r="G1039">
        <v>1.2634730000000001</v>
      </c>
      <c r="H1039">
        <v>12.59</v>
      </c>
      <c r="I1039">
        <v>2030</v>
      </c>
      <c r="J1039">
        <v>6.81</v>
      </c>
    </row>
    <row r="1040" spans="1:10" x14ac:dyDescent="0.35">
      <c r="A1040" t="s">
        <v>162</v>
      </c>
      <c r="B1040" t="s">
        <v>163</v>
      </c>
      <c r="C1040" t="s">
        <v>172</v>
      </c>
      <c r="D1040">
        <v>2017</v>
      </c>
      <c r="E1040">
        <v>100</v>
      </c>
      <c r="F1040">
        <v>95.67</v>
      </c>
      <c r="G1040">
        <v>1.264613</v>
      </c>
      <c r="H1040">
        <v>13.71</v>
      </c>
      <c r="I1040">
        <v>2030</v>
      </c>
      <c r="J1040">
        <v>6.75</v>
      </c>
    </row>
    <row r="1041" spans="1:10" x14ac:dyDescent="0.35">
      <c r="A1041" t="s">
        <v>162</v>
      </c>
      <c r="B1041" t="s">
        <v>163</v>
      </c>
      <c r="C1041" t="s">
        <v>172</v>
      </c>
      <c r="D1041">
        <v>2018</v>
      </c>
      <c r="E1041">
        <v>100</v>
      </c>
      <c r="F1041">
        <v>96</v>
      </c>
      <c r="G1041">
        <v>1.2653030000000001</v>
      </c>
      <c r="H1041">
        <v>14.74</v>
      </c>
      <c r="I1041">
        <v>2030</v>
      </c>
      <c r="J1041">
        <v>6.43</v>
      </c>
    </row>
    <row r="1042" spans="1:10" x14ac:dyDescent="0.35">
      <c r="A1042" t="s">
        <v>162</v>
      </c>
      <c r="B1042" t="s">
        <v>163</v>
      </c>
      <c r="C1042" t="s">
        <v>172</v>
      </c>
      <c r="D1042">
        <v>2019</v>
      </c>
      <c r="E1042">
        <v>100</v>
      </c>
      <c r="F1042">
        <v>96</v>
      </c>
      <c r="G1042">
        <v>1.265711</v>
      </c>
      <c r="H1042">
        <v>14.44</v>
      </c>
      <c r="I1042">
        <v>2030</v>
      </c>
      <c r="J1042">
        <v>6.33</v>
      </c>
    </row>
    <row r="1043" spans="1:10" x14ac:dyDescent="0.35">
      <c r="A1043" t="s">
        <v>162</v>
      </c>
      <c r="B1043" t="s">
        <v>163</v>
      </c>
      <c r="C1043" t="s">
        <v>172</v>
      </c>
      <c r="D1043">
        <v>2020</v>
      </c>
      <c r="E1043">
        <v>100</v>
      </c>
      <c r="F1043">
        <v>96</v>
      </c>
      <c r="G1043">
        <v>1.2657400000000001</v>
      </c>
      <c r="H1043">
        <v>11.4</v>
      </c>
      <c r="I1043">
        <v>2030</v>
      </c>
      <c r="J1043">
        <v>8.6300000000000008</v>
      </c>
    </row>
    <row r="1044" spans="1:10" x14ac:dyDescent="0.35">
      <c r="A1044" t="s">
        <v>162</v>
      </c>
      <c r="B1044" t="s">
        <v>163</v>
      </c>
      <c r="C1044" t="s">
        <v>176</v>
      </c>
      <c r="D1044">
        <v>2015</v>
      </c>
      <c r="E1044">
        <v>100</v>
      </c>
      <c r="F1044">
        <v>99</v>
      </c>
      <c r="G1044" t="s">
        <v>14</v>
      </c>
      <c r="H1044" t="s">
        <v>14</v>
      </c>
      <c r="I1044" t="s">
        <v>14</v>
      </c>
      <c r="J1044" t="s">
        <v>14</v>
      </c>
    </row>
    <row r="1045" spans="1:10" x14ac:dyDescent="0.35">
      <c r="A1045" t="s">
        <v>162</v>
      </c>
      <c r="B1045" t="s">
        <v>163</v>
      </c>
      <c r="C1045" t="s">
        <v>176</v>
      </c>
      <c r="D1045">
        <v>2016</v>
      </c>
      <c r="E1045">
        <v>100</v>
      </c>
      <c r="F1045">
        <v>99</v>
      </c>
      <c r="G1045" t="s">
        <v>14</v>
      </c>
      <c r="H1045" t="s">
        <v>14</v>
      </c>
      <c r="I1045" t="s">
        <v>14</v>
      </c>
      <c r="J1045" t="s">
        <v>14</v>
      </c>
    </row>
    <row r="1046" spans="1:10" x14ac:dyDescent="0.35">
      <c r="A1046" t="s">
        <v>162</v>
      </c>
      <c r="B1046" t="s">
        <v>163</v>
      </c>
      <c r="C1046" t="s">
        <v>176</v>
      </c>
      <c r="D1046">
        <v>2017</v>
      </c>
      <c r="E1046">
        <v>100</v>
      </c>
      <c r="F1046">
        <v>99</v>
      </c>
      <c r="G1046" t="s">
        <v>14</v>
      </c>
      <c r="H1046" t="s">
        <v>14</v>
      </c>
      <c r="I1046" t="s">
        <v>14</v>
      </c>
      <c r="J1046" t="s">
        <v>14</v>
      </c>
    </row>
    <row r="1047" spans="1:10" x14ac:dyDescent="0.35">
      <c r="A1047" t="s">
        <v>162</v>
      </c>
      <c r="B1047" t="s">
        <v>163</v>
      </c>
      <c r="C1047" t="s">
        <v>176</v>
      </c>
      <c r="D1047">
        <v>2018</v>
      </c>
      <c r="E1047">
        <v>100</v>
      </c>
      <c r="F1047">
        <v>100</v>
      </c>
      <c r="G1047" t="s">
        <v>14</v>
      </c>
      <c r="H1047" t="s">
        <v>14</v>
      </c>
      <c r="I1047" t="s">
        <v>14</v>
      </c>
      <c r="J1047" t="s">
        <v>14</v>
      </c>
    </row>
    <row r="1048" spans="1:10" x14ac:dyDescent="0.35">
      <c r="A1048" t="s">
        <v>162</v>
      </c>
      <c r="B1048" t="s">
        <v>163</v>
      </c>
      <c r="C1048" t="s">
        <v>176</v>
      </c>
      <c r="D1048">
        <v>2019</v>
      </c>
      <c r="E1048">
        <v>100</v>
      </c>
      <c r="F1048">
        <v>100</v>
      </c>
      <c r="G1048" t="s">
        <v>14</v>
      </c>
      <c r="H1048" t="s">
        <v>14</v>
      </c>
      <c r="I1048" t="s">
        <v>14</v>
      </c>
      <c r="J1048" t="s">
        <v>14</v>
      </c>
    </row>
    <row r="1049" spans="1:10" x14ac:dyDescent="0.35">
      <c r="A1049" t="s">
        <v>162</v>
      </c>
      <c r="B1049" t="s">
        <v>163</v>
      </c>
      <c r="C1049" t="s">
        <v>176</v>
      </c>
      <c r="D1049">
        <v>2020</v>
      </c>
      <c r="E1049">
        <v>100</v>
      </c>
      <c r="F1049">
        <v>100</v>
      </c>
      <c r="G1049" t="s">
        <v>14</v>
      </c>
      <c r="H1049" t="s">
        <v>14</v>
      </c>
      <c r="I1049" t="s">
        <v>14</v>
      </c>
      <c r="J1049" t="s">
        <v>14</v>
      </c>
    </row>
    <row r="1050" spans="1:10" x14ac:dyDescent="0.35">
      <c r="D1050" s="1"/>
    </row>
    <row r="1051" spans="1:10" x14ac:dyDescent="0.35">
      <c r="D1051" s="1" t="s">
        <v>233</v>
      </c>
      <c r="E1051">
        <f>_xlfn.QUARTILE.EXC(E2:E1049,1)</f>
        <v>77.082499999999996</v>
      </c>
    </row>
    <row r="1052" spans="1:10" x14ac:dyDescent="0.35">
      <c r="D1052" s="1" t="s">
        <v>234</v>
      </c>
      <c r="E1052">
        <f>_xlfn.QUARTILE.EXC(E2:E1049,3)</f>
        <v>99</v>
      </c>
    </row>
    <row r="1053" spans="1:10" x14ac:dyDescent="0.35">
      <c r="D1053" s="1" t="s">
        <v>235</v>
      </c>
      <c r="E1053">
        <f>E1052-E1051</f>
        <v>21.917500000000004</v>
      </c>
    </row>
    <row r="1054" spans="1:10" x14ac:dyDescent="0.35">
      <c r="D1054" s="1" t="s">
        <v>236</v>
      </c>
      <c r="E1054">
        <f>E1051-(1.5*E1053)</f>
        <v>44.20624999999999</v>
      </c>
    </row>
    <row r="1055" spans="1:10" x14ac:dyDescent="0.35">
      <c r="D1055" s="1" t="s">
        <v>237</v>
      </c>
      <c r="E1055">
        <f>E1052+(1.5*E1053)</f>
        <v>131.87625</v>
      </c>
    </row>
  </sheetData>
  <dataConsolidate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55DAC6-8814-45C2-A0D7-A6ED0484EE66}">
  <dimension ref="A1:F9"/>
  <sheetViews>
    <sheetView workbookViewId="0">
      <selection activeCell="D16" sqref="D16"/>
    </sheetView>
  </sheetViews>
  <sheetFormatPr defaultRowHeight="14.5" x14ac:dyDescent="0.35"/>
  <cols>
    <col min="1" max="1" width="19.453125" bestFit="1" customWidth="1"/>
    <col min="2" max="2" width="33.54296875" bestFit="1" customWidth="1"/>
    <col min="3" max="3" width="29.54296875" bestFit="1" customWidth="1"/>
    <col min="4" max="4" width="23.6328125" bestFit="1" customWidth="1"/>
    <col min="5" max="5" width="17" bestFit="1" customWidth="1"/>
    <col min="6" max="6" width="17.26953125" bestFit="1" customWidth="1"/>
  </cols>
  <sheetData>
    <row r="1" spans="1:6" x14ac:dyDescent="0.35">
      <c r="A1" s="4" t="s">
        <v>231</v>
      </c>
      <c r="B1" s="4" t="s">
        <v>4</v>
      </c>
      <c r="C1" s="4" t="s">
        <v>5</v>
      </c>
      <c r="D1" s="4" t="s">
        <v>6</v>
      </c>
      <c r="E1" s="4" t="s">
        <v>7</v>
      </c>
      <c r="F1" s="4" t="s">
        <v>9</v>
      </c>
    </row>
    <row r="2" spans="1:6" x14ac:dyDescent="0.35">
      <c r="A2" s="1" t="s">
        <v>218</v>
      </c>
      <c r="B2">
        <v>87.19</v>
      </c>
      <c r="C2">
        <v>73.69</v>
      </c>
      <c r="D2">
        <v>42.72</v>
      </c>
      <c r="E2">
        <v>274.18</v>
      </c>
      <c r="F2">
        <v>7.13</v>
      </c>
    </row>
    <row r="3" spans="1:6" x14ac:dyDescent="0.35">
      <c r="A3" s="1" t="s">
        <v>221</v>
      </c>
      <c r="B3">
        <v>94</v>
      </c>
      <c r="C3">
        <v>86.33</v>
      </c>
      <c r="D3">
        <v>7.86</v>
      </c>
      <c r="E3">
        <v>19.475000000000001</v>
      </c>
      <c r="F3">
        <v>5.6</v>
      </c>
    </row>
    <row r="4" spans="1:6" x14ac:dyDescent="0.35">
      <c r="A4" s="1" t="s">
        <v>219</v>
      </c>
      <c r="B4">
        <v>38.33</v>
      </c>
      <c r="C4">
        <v>10.67</v>
      </c>
      <c r="D4">
        <v>0.01</v>
      </c>
      <c r="E4">
        <v>0.04</v>
      </c>
      <c r="F4">
        <v>0.1</v>
      </c>
    </row>
    <row r="5" spans="1:6" x14ac:dyDescent="0.35">
      <c r="A5" s="1" t="s">
        <v>220</v>
      </c>
      <c r="B5">
        <v>100</v>
      </c>
      <c r="C5">
        <v>100</v>
      </c>
      <c r="D5">
        <v>1411.1</v>
      </c>
      <c r="E5">
        <v>14687.67</v>
      </c>
      <c r="F5">
        <v>31.31</v>
      </c>
    </row>
    <row r="9" spans="1:6" x14ac:dyDescent="0.35">
      <c r="B9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053771-98AB-4A66-912A-70865E615AB0}">
  <dimension ref="A1:D10"/>
  <sheetViews>
    <sheetView topLeftCell="A4" workbookViewId="0">
      <selection activeCell="D16" sqref="D16"/>
    </sheetView>
  </sheetViews>
  <sheetFormatPr defaultRowHeight="14.5" x14ac:dyDescent="0.35"/>
  <cols>
    <col min="1" max="1" width="12.90625" bestFit="1" customWidth="1"/>
    <col min="2" max="2" width="38.6328125" bestFit="1" customWidth="1"/>
    <col min="3" max="3" width="26.36328125" bestFit="1" customWidth="1"/>
    <col min="4" max="4" width="42.6328125" bestFit="1" customWidth="1"/>
  </cols>
  <sheetData>
    <row r="1" spans="1:4" s="5" customFormat="1" x14ac:dyDescent="0.35">
      <c r="A1" s="5" t="s">
        <v>232</v>
      </c>
    </row>
    <row r="3" spans="1:4" x14ac:dyDescent="0.35">
      <c r="A3" s="2" t="s">
        <v>230</v>
      </c>
      <c r="B3" t="s">
        <v>223</v>
      </c>
      <c r="C3" t="s">
        <v>224</v>
      </c>
      <c r="D3" t="s">
        <v>222</v>
      </c>
    </row>
    <row r="4" spans="1:4" x14ac:dyDescent="0.35">
      <c r="A4" s="3">
        <v>2015</v>
      </c>
      <c r="B4">
        <v>73.064285714285717</v>
      </c>
      <c r="C4">
        <v>6.9739705882352947</v>
      </c>
      <c r="D4">
        <v>86.432087912087908</v>
      </c>
    </row>
    <row r="5" spans="1:4" x14ac:dyDescent="0.35">
      <c r="A5" s="3">
        <v>2016</v>
      </c>
      <c r="B5">
        <v>73.443922651933704</v>
      </c>
      <c r="C5">
        <v>6.8836764705882336</v>
      </c>
      <c r="D5">
        <v>86.831483516483516</v>
      </c>
    </row>
    <row r="6" spans="1:4" x14ac:dyDescent="0.35">
      <c r="A6" s="3">
        <v>2017</v>
      </c>
      <c r="B6">
        <v>73.882670454545462</v>
      </c>
      <c r="C6">
        <v>7.460958904109587</v>
      </c>
      <c r="D6">
        <v>87.269888268156421</v>
      </c>
    </row>
    <row r="7" spans="1:4" x14ac:dyDescent="0.35">
      <c r="A7" s="3">
        <v>2018</v>
      </c>
      <c r="B7">
        <v>73.700898203592814</v>
      </c>
      <c r="C7">
        <v>6.4101515151515152</v>
      </c>
      <c r="D7">
        <v>87.356549707602341</v>
      </c>
    </row>
    <row r="8" spans="1:4" x14ac:dyDescent="0.35">
      <c r="A8" s="3">
        <v>2019</v>
      </c>
      <c r="B8">
        <v>73.953231707317073</v>
      </c>
      <c r="C8">
        <v>7.3454794520547946</v>
      </c>
      <c r="D8">
        <v>87.597396449704135</v>
      </c>
    </row>
    <row r="9" spans="1:4" x14ac:dyDescent="0.35">
      <c r="A9" s="3">
        <v>2020</v>
      </c>
      <c r="B9">
        <v>74.174999999999997</v>
      </c>
      <c r="C9">
        <v>7.722456140350876</v>
      </c>
      <c r="D9">
        <v>87.73921212121212</v>
      </c>
    </row>
    <row r="10" spans="1:4" x14ac:dyDescent="0.35">
      <c r="A10" s="3" t="s">
        <v>229</v>
      </c>
      <c r="B10">
        <v>73.688135922330062</v>
      </c>
      <c r="C10">
        <v>7.1270123456790158</v>
      </c>
      <c r="D10">
        <v>87.189103053435176</v>
      </c>
    </row>
  </sheetData>
  <mergeCells count="1">
    <mergeCell ref="A1:XFD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1EDB6E-1FE6-46FC-B6D3-E1CBC51D2BC1}">
  <dimension ref="A3:E11"/>
  <sheetViews>
    <sheetView workbookViewId="0">
      <selection activeCell="E23" sqref="E23"/>
    </sheetView>
  </sheetViews>
  <sheetFormatPr defaultRowHeight="14.5" x14ac:dyDescent="0.35"/>
  <cols>
    <col min="1" max="1" width="27.81640625" bestFit="1" customWidth="1"/>
    <col min="2" max="2" width="22.36328125" bestFit="1" customWidth="1"/>
    <col min="3" max="3" width="34.90625" bestFit="1" customWidth="1"/>
    <col min="4" max="4" width="22.6328125" bestFit="1" customWidth="1"/>
    <col min="5" max="5" width="38.90625" bestFit="1" customWidth="1"/>
  </cols>
  <sheetData>
    <row r="3" spans="1:5" x14ac:dyDescent="0.35">
      <c r="A3" s="2" t="s">
        <v>0</v>
      </c>
      <c r="B3" t="s">
        <v>225</v>
      </c>
      <c r="C3" t="s">
        <v>226</v>
      </c>
      <c r="D3" t="s">
        <v>227</v>
      </c>
      <c r="E3" t="s">
        <v>228</v>
      </c>
    </row>
    <row r="4" spans="1:5" x14ac:dyDescent="0.35">
      <c r="A4" s="3" t="s">
        <v>10</v>
      </c>
      <c r="B4" s="6">
        <v>302.74619718309862</v>
      </c>
      <c r="C4" s="6">
        <v>81.472261904761908</v>
      </c>
      <c r="D4" s="6">
        <v>5.5918918918918932</v>
      </c>
      <c r="E4" s="6">
        <v>92.34071428571427</v>
      </c>
    </row>
    <row r="5" spans="1:5" x14ac:dyDescent="0.35">
      <c r="A5" s="3" t="s">
        <v>28</v>
      </c>
      <c r="B5" s="6">
        <v>1703.9798611111105</v>
      </c>
      <c r="C5" s="6">
        <v>83.549560439560437</v>
      </c>
      <c r="D5" s="6">
        <v>3.4705084745762713</v>
      </c>
      <c r="E5" s="6">
        <v>91.274062499999999</v>
      </c>
    </row>
    <row r="6" spans="1:5" x14ac:dyDescent="0.35">
      <c r="A6" s="3" t="s">
        <v>47</v>
      </c>
      <c r="B6" s="6">
        <v>550.33111111111111</v>
      </c>
      <c r="C6" s="6">
        <v>99.734000000000009</v>
      </c>
      <c r="D6" s="6">
        <v>7.1857142857142859</v>
      </c>
      <c r="E6" s="6">
        <v>97.911333333333332</v>
      </c>
    </row>
    <row r="7" spans="1:5" x14ac:dyDescent="0.35">
      <c r="A7" s="3" t="s">
        <v>54</v>
      </c>
      <c r="B7" s="6">
        <v>179.73182352941186</v>
      </c>
      <c r="C7" s="6">
        <v>87.841093750000127</v>
      </c>
      <c r="D7" s="6">
        <v>7.0313600000000021</v>
      </c>
      <c r="E7" s="6">
        <v>95.234423076923065</v>
      </c>
    </row>
    <row r="8" spans="1:5" x14ac:dyDescent="0.35">
      <c r="A8" s="3" t="s">
        <v>107</v>
      </c>
      <c r="B8" s="6">
        <v>136.18858333333336</v>
      </c>
      <c r="C8" s="6">
        <v>91.298472222222216</v>
      </c>
      <c r="D8" s="6">
        <v>8.7576056338028163</v>
      </c>
      <c r="E8" s="6">
        <v>93.499930555555565</v>
      </c>
    </row>
    <row r="9" spans="1:5" x14ac:dyDescent="0.35">
      <c r="A9" s="3" t="s">
        <v>134</v>
      </c>
      <c r="B9" s="6">
        <v>89.469906542056066</v>
      </c>
      <c r="C9" s="6">
        <v>81.789375000000007</v>
      </c>
      <c r="D9" s="6">
        <v>7.3076666666666688</v>
      </c>
      <c r="E9" s="6">
        <v>93.652262773722626</v>
      </c>
    </row>
    <row r="10" spans="1:5" x14ac:dyDescent="0.35">
      <c r="A10" s="3" t="s">
        <v>162</v>
      </c>
      <c r="B10" s="6">
        <v>36.321900826446267</v>
      </c>
      <c r="C10" s="6">
        <v>41.605185185185192</v>
      </c>
      <c r="D10" s="6">
        <v>9.270263157894739</v>
      </c>
      <c r="E10" s="6">
        <v>70.244478114478099</v>
      </c>
    </row>
    <row r="11" spans="1:5" x14ac:dyDescent="0.35">
      <c r="A11" s="3" t="s">
        <v>229</v>
      </c>
      <c r="B11" s="6">
        <v>274.18463749999989</v>
      </c>
      <c r="C11" s="6">
        <v>73.688135922330034</v>
      </c>
      <c r="D11" s="6">
        <v>7.1270123456790104</v>
      </c>
      <c r="E11" s="6">
        <v>87.189103053435161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671570-6837-4C7F-A2F2-51715BFC6A66}">
  <dimension ref="A1:T2"/>
  <sheetViews>
    <sheetView tabSelected="1" workbookViewId="0">
      <selection activeCell="I9" sqref="I9"/>
    </sheetView>
  </sheetViews>
  <sheetFormatPr defaultRowHeight="14.5" x14ac:dyDescent="0.35"/>
  <sheetData>
    <row r="1" spans="1:20" s="8" customFormat="1" x14ac:dyDescent="0.35">
      <c r="A1" s="4" t="s">
        <v>240</v>
      </c>
      <c r="K1" s="4" t="s">
        <v>238</v>
      </c>
      <c r="T1" s="4" t="s">
        <v>239</v>
      </c>
    </row>
    <row r="2" spans="1:20" s="7" customFormat="1" x14ac:dyDescent="0.35"/>
  </sheetData>
  <mergeCells count="1">
    <mergeCell ref="A2:XFD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3A6003-B28E-4D9E-96DC-9A9F872675FD}">
  <dimension ref="A1:J1054"/>
  <sheetViews>
    <sheetView topLeftCell="C1" workbookViewId="0">
      <pane ySplit="1" topLeftCell="A1042" activePane="bottomLeft" state="frozen"/>
      <selection pane="bottomLeft" activeCell="F1054" sqref="F1054"/>
    </sheetView>
  </sheetViews>
  <sheetFormatPr defaultRowHeight="14.5" x14ac:dyDescent="0.35"/>
  <cols>
    <col min="1" max="1" width="27.81640625" bestFit="1" customWidth="1"/>
    <col min="2" max="2" width="22.26953125" bestFit="1" customWidth="1"/>
    <col min="3" max="3" width="32.26953125" bestFit="1" customWidth="1"/>
    <col min="4" max="4" width="10.6328125" bestFit="1" customWidth="1"/>
    <col min="5" max="5" width="32.36328125" bestFit="1" customWidth="1"/>
    <col min="6" max="6" width="28.6328125" bestFit="1" customWidth="1"/>
    <col min="7" max="7" width="22.36328125" bestFit="1" customWidth="1"/>
    <col min="8" max="8" width="16" bestFit="1" customWidth="1"/>
    <col min="9" max="9" width="10.81640625" bestFit="1" customWidth="1"/>
    <col min="10" max="10" width="16.453125" bestFit="1" customWidth="1"/>
  </cols>
  <sheetData>
    <row r="1" spans="1:10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 t="s">
        <v>10</v>
      </c>
      <c r="B2" t="s">
        <v>11</v>
      </c>
      <c r="C2" t="s">
        <v>12</v>
      </c>
      <c r="D2">
        <v>2015</v>
      </c>
      <c r="E2">
        <v>94.67</v>
      </c>
      <c r="F2">
        <v>98</v>
      </c>
      <c r="G2">
        <v>17.542805999999999</v>
      </c>
      <c r="H2">
        <v>184.39</v>
      </c>
      <c r="I2">
        <v>2699700</v>
      </c>
      <c r="J2">
        <v>4.93</v>
      </c>
    </row>
    <row r="3" spans="1:10" x14ac:dyDescent="0.35">
      <c r="A3" t="s">
        <v>10</v>
      </c>
      <c r="B3" t="s">
        <v>11</v>
      </c>
      <c r="C3" t="s">
        <v>12</v>
      </c>
      <c r="D3">
        <v>2016</v>
      </c>
      <c r="E3">
        <v>94.67</v>
      </c>
      <c r="F3">
        <v>98</v>
      </c>
      <c r="G3">
        <v>17.794055</v>
      </c>
      <c r="H3">
        <v>137.28</v>
      </c>
      <c r="I3">
        <v>2699700</v>
      </c>
      <c r="J3">
        <v>4.96</v>
      </c>
    </row>
    <row r="4" spans="1:10" x14ac:dyDescent="0.35">
      <c r="A4" t="s">
        <v>10</v>
      </c>
      <c r="B4" t="s">
        <v>11</v>
      </c>
      <c r="C4" t="s">
        <v>12</v>
      </c>
      <c r="D4">
        <v>2017</v>
      </c>
      <c r="E4">
        <v>95</v>
      </c>
      <c r="F4">
        <v>98</v>
      </c>
      <c r="G4">
        <v>18.037776000000001</v>
      </c>
      <c r="H4">
        <v>166.81</v>
      </c>
      <c r="I4">
        <v>2699700</v>
      </c>
      <c r="J4">
        <v>4.9000000000000004</v>
      </c>
    </row>
    <row r="5" spans="1:10" x14ac:dyDescent="0.35">
      <c r="A5" t="s">
        <v>10</v>
      </c>
      <c r="B5" t="s">
        <v>11</v>
      </c>
      <c r="C5" t="s">
        <v>12</v>
      </c>
      <c r="D5">
        <v>2018</v>
      </c>
      <c r="E5">
        <v>95</v>
      </c>
      <c r="F5">
        <v>98</v>
      </c>
      <c r="G5">
        <v>18.276451999999999</v>
      </c>
      <c r="H5">
        <v>179.34</v>
      </c>
      <c r="I5">
        <v>2699700</v>
      </c>
      <c r="J5">
        <v>4.8499999999999996</v>
      </c>
    </row>
    <row r="6" spans="1:10" x14ac:dyDescent="0.35">
      <c r="A6" t="s">
        <v>10</v>
      </c>
      <c r="B6" t="s">
        <v>11</v>
      </c>
      <c r="C6" t="s">
        <v>12</v>
      </c>
      <c r="D6">
        <v>2019</v>
      </c>
      <c r="E6">
        <v>95</v>
      </c>
      <c r="F6">
        <v>98</v>
      </c>
      <c r="G6">
        <v>18.513673000000001</v>
      </c>
      <c r="H6">
        <v>181.67</v>
      </c>
      <c r="I6">
        <v>2699700</v>
      </c>
      <c r="J6">
        <v>4.8</v>
      </c>
    </row>
    <row r="7" spans="1:10" x14ac:dyDescent="0.35">
      <c r="A7" t="s">
        <v>10</v>
      </c>
      <c r="B7" t="s">
        <v>11</v>
      </c>
      <c r="C7" t="s">
        <v>12</v>
      </c>
      <c r="D7">
        <v>2020</v>
      </c>
      <c r="E7">
        <v>95</v>
      </c>
      <c r="F7">
        <v>98</v>
      </c>
      <c r="G7">
        <v>18.755666000000002</v>
      </c>
      <c r="H7">
        <v>171.08</v>
      </c>
      <c r="I7">
        <v>2699700</v>
      </c>
      <c r="J7">
        <v>4.8899999999999997</v>
      </c>
    </row>
    <row r="8" spans="1:10" x14ac:dyDescent="0.35">
      <c r="A8" t="s">
        <v>10</v>
      </c>
      <c r="B8" t="s">
        <v>11</v>
      </c>
      <c r="C8" t="s">
        <v>13</v>
      </c>
      <c r="D8">
        <v>2015</v>
      </c>
      <c r="E8">
        <v>89.67</v>
      </c>
      <c r="F8">
        <v>96.67</v>
      </c>
      <c r="G8" t="s">
        <v>14</v>
      </c>
      <c r="H8" t="s">
        <v>14</v>
      </c>
      <c r="I8" t="s">
        <v>14</v>
      </c>
      <c r="J8" t="s">
        <v>14</v>
      </c>
    </row>
    <row r="9" spans="1:10" x14ac:dyDescent="0.35">
      <c r="A9" t="s">
        <v>10</v>
      </c>
      <c r="B9" t="s">
        <v>11</v>
      </c>
      <c r="C9" t="s">
        <v>13</v>
      </c>
      <c r="D9">
        <v>2016</v>
      </c>
      <c r="E9">
        <v>90.33</v>
      </c>
      <c r="F9">
        <v>96.67</v>
      </c>
      <c r="G9" t="s">
        <v>14</v>
      </c>
      <c r="H9" t="s">
        <v>14</v>
      </c>
      <c r="I9" t="s">
        <v>14</v>
      </c>
      <c r="J9" t="s">
        <v>14</v>
      </c>
    </row>
    <row r="10" spans="1:10" x14ac:dyDescent="0.35">
      <c r="A10" t="s">
        <v>10</v>
      </c>
      <c r="B10" t="s">
        <v>11</v>
      </c>
      <c r="C10" t="s">
        <v>13</v>
      </c>
      <c r="D10">
        <v>2017</v>
      </c>
      <c r="E10">
        <v>91</v>
      </c>
      <c r="F10">
        <v>97.33</v>
      </c>
      <c r="G10" t="s">
        <v>14</v>
      </c>
      <c r="H10" t="s">
        <v>14</v>
      </c>
      <c r="I10" t="s">
        <v>14</v>
      </c>
      <c r="J10" t="s">
        <v>14</v>
      </c>
    </row>
    <row r="11" spans="1:10" x14ac:dyDescent="0.35">
      <c r="A11" t="s">
        <v>10</v>
      </c>
      <c r="B11" t="s">
        <v>11</v>
      </c>
      <c r="C11" t="s">
        <v>13</v>
      </c>
      <c r="D11">
        <v>2018</v>
      </c>
      <c r="E11">
        <v>91.33</v>
      </c>
      <c r="F11">
        <v>97.33</v>
      </c>
      <c r="G11" t="s">
        <v>14</v>
      </c>
      <c r="H11" t="s">
        <v>14</v>
      </c>
      <c r="I11" t="s">
        <v>14</v>
      </c>
      <c r="J11" t="s">
        <v>14</v>
      </c>
    </row>
    <row r="12" spans="1:10" x14ac:dyDescent="0.35">
      <c r="A12" t="s">
        <v>10</v>
      </c>
      <c r="B12" t="s">
        <v>11</v>
      </c>
      <c r="C12" t="s">
        <v>13</v>
      </c>
      <c r="D12">
        <v>2019</v>
      </c>
      <c r="E12">
        <v>91.67</v>
      </c>
      <c r="F12">
        <v>97.33</v>
      </c>
      <c r="G12" t="s">
        <v>14</v>
      </c>
      <c r="H12" t="s">
        <v>14</v>
      </c>
      <c r="I12" t="s">
        <v>14</v>
      </c>
      <c r="J12" t="s">
        <v>14</v>
      </c>
    </row>
    <row r="13" spans="1:10" x14ac:dyDescent="0.35">
      <c r="A13" t="s">
        <v>10</v>
      </c>
      <c r="B13" t="s">
        <v>11</v>
      </c>
      <c r="C13" t="s">
        <v>13</v>
      </c>
      <c r="D13">
        <v>2020</v>
      </c>
      <c r="E13">
        <v>92.67</v>
      </c>
      <c r="F13">
        <v>97.67</v>
      </c>
      <c r="G13" t="s">
        <v>14</v>
      </c>
      <c r="H13" t="s">
        <v>14</v>
      </c>
      <c r="I13" t="s">
        <v>14</v>
      </c>
      <c r="J13" t="s">
        <v>14</v>
      </c>
    </row>
    <row r="14" spans="1:10" x14ac:dyDescent="0.35">
      <c r="A14" t="s">
        <v>10</v>
      </c>
      <c r="B14" t="s">
        <v>11</v>
      </c>
      <c r="C14" t="s">
        <v>15</v>
      </c>
      <c r="D14">
        <v>2015</v>
      </c>
      <c r="E14">
        <v>80.33</v>
      </c>
      <c r="F14">
        <v>95</v>
      </c>
      <c r="G14">
        <v>8.5240629999999999</v>
      </c>
      <c r="H14">
        <v>8.27</v>
      </c>
      <c r="I14">
        <v>138790</v>
      </c>
      <c r="J14" t="s">
        <v>14</v>
      </c>
    </row>
    <row r="15" spans="1:10" x14ac:dyDescent="0.35">
      <c r="A15" t="s">
        <v>10</v>
      </c>
      <c r="B15" t="s">
        <v>11</v>
      </c>
      <c r="C15" t="s">
        <v>15</v>
      </c>
      <c r="D15">
        <v>2016</v>
      </c>
      <c r="E15">
        <v>81.33</v>
      </c>
      <c r="F15">
        <v>95.33</v>
      </c>
      <c r="G15">
        <v>8.7253179999999997</v>
      </c>
      <c r="H15">
        <v>6.99</v>
      </c>
      <c r="I15">
        <v>138790</v>
      </c>
      <c r="J15">
        <v>6.9</v>
      </c>
    </row>
    <row r="16" spans="1:10" x14ac:dyDescent="0.35">
      <c r="A16" t="s">
        <v>10</v>
      </c>
      <c r="B16" t="s">
        <v>11</v>
      </c>
      <c r="C16" t="s">
        <v>15</v>
      </c>
      <c r="D16">
        <v>2017</v>
      </c>
      <c r="E16">
        <v>82.33</v>
      </c>
      <c r="F16">
        <v>95.67</v>
      </c>
      <c r="G16">
        <v>8.9255250000000004</v>
      </c>
      <c r="H16">
        <v>7.54</v>
      </c>
      <c r="I16">
        <v>138790</v>
      </c>
      <c r="J16" t="s">
        <v>14</v>
      </c>
    </row>
    <row r="17" spans="1:10" x14ac:dyDescent="0.35">
      <c r="A17" t="s">
        <v>10</v>
      </c>
      <c r="B17" t="s">
        <v>11</v>
      </c>
      <c r="C17" t="s">
        <v>15</v>
      </c>
      <c r="D17">
        <v>2018</v>
      </c>
      <c r="E17">
        <v>83.33</v>
      </c>
      <c r="F17">
        <v>95.67</v>
      </c>
      <c r="G17">
        <v>9.1281320000000008</v>
      </c>
      <c r="H17">
        <v>7.77</v>
      </c>
      <c r="I17">
        <v>138790</v>
      </c>
      <c r="J17" t="s">
        <v>14</v>
      </c>
    </row>
    <row r="18" spans="1:10" x14ac:dyDescent="0.35">
      <c r="A18" t="s">
        <v>10</v>
      </c>
      <c r="B18" t="s">
        <v>11</v>
      </c>
      <c r="C18" t="s">
        <v>15</v>
      </c>
      <c r="D18">
        <v>2019</v>
      </c>
      <c r="E18">
        <v>85</v>
      </c>
      <c r="F18">
        <v>96.33</v>
      </c>
      <c r="G18">
        <v>9.3370029999999993</v>
      </c>
      <c r="H18">
        <v>8.3000000000000007</v>
      </c>
      <c r="I18">
        <v>138790</v>
      </c>
      <c r="J18" t="s">
        <v>14</v>
      </c>
    </row>
    <row r="19" spans="1:10" x14ac:dyDescent="0.35">
      <c r="A19" t="s">
        <v>10</v>
      </c>
      <c r="B19" t="s">
        <v>11</v>
      </c>
      <c r="C19" t="s">
        <v>15</v>
      </c>
      <c r="D19">
        <v>2020</v>
      </c>
      <c r="E19">
        <v>85</v>
      </c>
      <c r="F19">
        <v>96.33</v>
      </c>
      <c r="G19">
        <v>9.5432070000000007</v>
      </c>
      <c r="H19">
        <v>8.1300000000000008</v>
      </c>
      <c r="I19">
        <v>138790</v>
      </c>
      <c r="J19" t="s">
        <v>14</v>
      </c>
    </row>
    <row r="20" spans="1:10" x14ac:dyDescent="0.35">
      <c r="A20" t="s">
        <v>10</v>
      </c>
      <c r="B20" t="s">
        <v>11</v>
      </c>
      <c r="C20" t="s">
        <v>16</v>
      </c>
      <c r="D20">
        <v>2015</v>
      </c>
      <c r="E20">
        <v>97.67</v>
      </c>
      <c r="F20">
        <v>97.33</v>
      </c>
      <c r="G20">
        <v>5.7664309999999999</v>
      </c>
      <c r="H20">
        <v>35.799999999999997</v>
      </c>
      <c r="I20">
        <v>469930</v>
      </c>
      <c r="J20" t="s">
        <v>14</v>
      </c>
    </row>
    <row r="21" spans="1:10" x14ac:dyDescent="0.35">
      <c r="A21" t="s">
        <v>10</v>
      </c>
      <c r="B21" t="s">
        <v>11</v>
      </c>
      <c r="C21" t="s">
        <v>16</v>
      </c>
      <c r="D21">
        <v>2016</v>
      </c>
      <c r="E21">
        <v>98</v>
      </c>
      <c r="F21">
        <v>98</v>
      </c>
      <c r="G21">
        <v>5.8685609999999997</v>
      </c>
      <c r="H21">
        <v>36.17</v>
      </c>
      <c r="I21">
        <v>469930</v>
      </c>
      <c r="J21" t="s">
        <v>14</v>
      </c>
    </row>
    <row r="22" spans="1:10" x14ac:dyDescent="0.35">
      <c r="A22" t="s">
        <v>10</v>
      </c>
      <c r="B22" t="s">
        <v>11</v>
      </c>
      <c r="C22" t="s">
        <v>16</v>
      </c>
      <c r="D22">
        <v>2017</v>
      </c>
      <c r="E22">
        <v>98.67</v>
      </c>
      <c r="F22">
        <v>98</v>
      </c>
      <c r="G22">
        <v>5.9683830000000002</v>
      </c>
      <c r="H22">
        <v>37.93</v>
      </c>
      <c r="I22">
        <v>469930</v>
      </c>
      <c r="J22" t="s">
        <v>14</v>
      </c>
    </row>
    <row r="23" spans="1:10" x14ac:dyDescent="0.35">
      <c r="A23" t="s">
        <v>10</v>
      </c>
      <c r="B23" t="s">
        <v>11</v>
      </c>
      <c r="C23" t="s">
        <v>16</v>
      </c>
      <c r="D23">
        <v>2018</v>
      </c>
      <c r="E23">
        <v>99.33</v>
      </c>
      <c r="F23">
        <v>98.67</v>
      </c>
      <c r="G23">
        <v>6.0650659999999998</v>
      </c>
      <c r="H23">
        <v>40.770000000000003</v>
      </c>
      <c r="I23">
        <v>469930</v>
      </c>
      <c r="J23" t="s">
        <v>14</v>
      </c>
    </row>
    <row r="24" spans="1:10" x14ac:dyDescent="0.35">
      <c r="A24" t="s">
        <v>10</v>
      </c>
      <c r="B24" t="s">
        <v>11</v>
      </c>
      <c r="C24" t="s">
        <v>16</v>
      </c>
      <c r="D24">
        <v>2019</v>
      </c>
      <c r="E24">
        <v>100</v>
      </c>
      <c r="F24">
        <v>99.33</v>
      </c>
      <c r="G24">
        <v>6.1584199999999996</v>
      </c>
      <c r="H24">
        <v>45.23</v>
      </c>
      <c r="I24">
        <v>469930</v>
      </c>
      <c r="J24" t="s">
        <v>14</v>
      </c>
    </row>
    <row r="25" spans="1:10" x14ac:dyDescent="0.35">
      <c r="A25" t="s">
        <v>10</v>
      </c>
      <c r="B25" t="s">
        <v>11</v>
      </c>
      <c r="C25" t="s">
        <v>16</v>
      </c>
      <c r="D25">
        <v>2020</v>
      </c>
      <c r="E25">
        <v>100</v>
      </c>
      <c r="F25">
        <v>99.33</v>
      </c>
      <c r="G25">
        <v>6.2504379999999999</v>
      </c>
      <c r="H25" t="s">
        <v>14</v>
      </c>
      <c r="I25">
        <v>469930</v>
      </c>
      <c r="J25" t="s">
        <v>14</v>
      </c>
    </row>
    <row r="26" spans="1:10" x14ac:dyDescent="0.35">
      <c r="A26" t="s">
        <v>10</v>
      </c>
      <c r="B26" t="s">
        <v>11</v>
      </c>
      <c r="C26" t="s">
        <v>17</v>
      </c>
      <c r="D26">
        <v>2015</v>
      </c>
      <c r="E26">
        <v>97.67</v>
      </c>
      <c r="F26">
        <v>100</v>
      </c>
      <c r="G26">
        <v>31.2989</v>
      </c>
      <c r="H26">
        <v>86.2</v>
      </c>
      <c r="I26">
        <v>440600</v>
      </c>
      <c r="J26">
        <v>5.15</v>
      </c>
    </row>
    <row r="27" spans="1:10" x14ac:dyDescent="0.35">
      <c r="A27" t="s">
        <v>10</v>
      </c>
      <c r="B27" t="s">
        <v>11</v>
      </c>
      <c r="C27" t="s">
        <v>17</v>
      </c>
      <c r="D27">
        <v>2016</v>
      </c>
      <c r="E27">
        <v>97.67</v>
      </c>
      <c r="F27">
        <v>100</v>
      </c>
      <c r="G27">
        <v>31.847899999999999</v>
      </c>
      <c r="H27">
        <v>86.14</v>
      </c>
      <c r="I27">
        <v>440591</v>
      </c>
      <c r="J27">
        <v>5.16</v>
      </c>
    </row>
    <row r="28" spans="1:10" x14ac:dyDescent="0.35">
      <c r="A28" t="s">
        <v>10</v>
      </c>
      <c r="B28" t="s">
        <v>11</v>
      </c>
      <c r="C28" t="s">
        <v>17</v>
      </c>
      <c r="D28">
        <v>2017</v>
      </c>
      <c r="E28">
        <v>98</v>
      </c>
      <c r="F28">
        <v>100</v>
      </c>
      <c r="G28">
        <v>32.388599999999997</v>
      </c>
      <c r="H28">
        <v>62.08</v>
      </c>
      <c r="I28">
        <v>440588</v>
      </c>
      <c r="J28">
        <v>5.83</v>
      </c>
    </row>
    <row r="29" spans="1:10" x14ac:dyDescent="0.35">
      <c r="A29" t="s">
        <v>10</v>
      </c>
      <c r="B29" t="s">
        <v>11</v>
      </c>
      <c r="C29" t="s">
        <v>17</v>
      </c>
      <c r="D29">
        <v>2018</v>
      </c>
      <c r="E29">
        <v>98</v>
      </c>
      <c r="F29">
        <v>100</v>
      </c>
      <c r="G29">
        <v>32.956099999999999</v>
      </c>
      <c r="H29">
        <v>52.63</v>
      </c>
      <c r="I29">
        <v>440587</v>
      </c>
      <c r="J29">
        <v>9.35</v>
      </c>
    </row>
    <row r="30" spans="1:10" x14ac:dyDescent="0.35">
      <c r="A30" t="s">
        <v>10</v>
      </c>
      <c r="B30" t="s">
        <v>11</v>
      </c>
      <c r="C30" t="s">
        <v>17</v>
      </c>
      <c r="D30">
        <v>2019</v>
      </c>
      <c r="E30">
        <v>98</v>
      </c>
      <c r="F30">
        <v>100</v>
      </c>
      <c r="G30">
        <v>33.580350000000003</v>
      </c>
      <c r="H30">
        <v>59.91</v>
      </c>
      <c r="I30">
        <v>440555</v>
      </c>
      <c r="J30">
        <v>8.98</v>
      </c>
    </row>
    <row r="31" spans="1:10" x14ac:dyDescent="0.35">
      <c r="A31" t="s">
        <v>10</v>
      </c>
      <c r="B31" t="s">
        <v>11</v>
      </c>
      <c r="C31" t="s">
        <v>17</v>
      </c>
      <c r="D31">
        <v>2020</v>
      </c>
      <c r="E31">
        <v>98</v>
      </c>
      <c r="F31">
        <v>100</v>
      </c>
      <c r="G31">
        <v>34.232050000000001</v>
      </c>
      <c r="H31">
        <v>59.89</v>
      </c>
      <c r="I31">
        <v>440650</v>
      </c>
      <c r="J31">
        <v>5.29</v>
      </c>
    </row>
    <row r="32" spans="1:10" x14ac:dyDescent="0.35">
      <c r="A32" t="s">
        <v>10</v>
      </c>
      <c r="B32" t="s">
        <v>18</v>
      </c>
      <c r="C32" t="s">
        <v>19</v>
      </c>
      <c r="D32">
        <v>2015</v>
      </c>
      <c r="E32">
        <v>67</v>
      </c>
      <c r="F32">
        <v>45.67</v>
      </c>
      <c r="G32">
        <v>33.753498999999998</v>
      </c>
      <c r="H32">
        <v>20</v>
      </c>
      <c r="I32">
        <v>652230</v>
      </c>
      <c r="J32" t="s">
        <v>14</v>
      </c>
    </row>
    <row r="33" spans="1:10" x14ac:dyDescent="0.35">
      <c r="A33" t="s">
        <v>10</v>
      </c>
      <c r="B33" t="s">
        <v>18</v>
      </c>
      <c r="C33" t="s">
        <v>19</v>
      </c>
      <c r="D33">
        <v>2016</v>
      </c>
      <c r="E33">
        <v>69.67</v>
      </c>
      <c r="F33">
        <v>47</v>
      </c>
      <c r="G33">
        <v>34.636206999999999</v>
      </c>
      <c r="H33">
        <v>18.02</v>
      </c>
      <c r="I33">
        <v>652230</v>
      </c>
      <c r="J33" t="s">
        <v>14</v>
      </c>
    </row>
    <row r="34" spans="1:10" x14ac:dyDescent="0.35">
      <c r="A34" t="s">
        <v>10</v>
      </c>
      <c r="B34" t="s">
        <v>18</v>
      </c>
      <c r="C34" t="s">
        <v>19</v>
      </c>
      <c r="D34">
        <v>2017</v>
      </c>
      <c r="E34">
        <v>72.33</v>
      </c>
      <c r="F34">
        <v>49.33</v>
      </c>
      <c r="G34">
        <v>35.643417999999997</v>
      </c>
      <c r="H34">
        <v>18.899999999999999</v>
      </c>
      <c r="I34">
        <v>652230</v>
      </c>
      <c r="J34">
        <v>11.18</v>
      </c>
    </row>
    <row r="35" spans="1:10" x14ac:dyDescent="0.35">
      <c r="A35" t="s">
        <v>10</v>
      </c>
      <c r="B35" t="s">
        <v>18</v>
      </c>
      <c r="C35" t="s">
        <v>19</v>
      </c>
      <c r="D35">
        <v>2018</v>
      </c>
      <c r="E35">
        <v>75.33</v>
      </c>
      <c r="F35">
        <v>50.67</v>
      </c>
      <c r="G35">
        <v>36.686784000000003</v>
      </c>
      <c r="H35">
        <v>18.420000000000002</v>
      </c>
      <c r="I35">
        <v>652230</v>
      </c>
      <c r="J35" t="s">
        <v>14</v>
      </c>
    </row>
    <row r="36" spans="1:10" x14ac:dyDescent="0.35">
      <c r="A36" t="s">
        <v>10</v>
      </c>
      <c r="B36" t="s">
        <v>18</v>
      </c>
      <c r="C36" t="s">
        <v>19</v>
      </c>
      <c r="D36">
        <v>2019</v>
      </c>
      <c r="E36">
        <v>78</v>
      </c>
      <c r="F36">
        <v>52.33</v>
      </c>
      <c r="G36">
        <v>37.769499000000003</v>
      </c>
      <c r="H36">
        <v>18.899999999999999</v>
      </c>
      <c r="I36">
        <v>652230</v>
      </c>
      <c r="J36" t="s">
        <v>14</v>
      </c>
    </row>
    <row r="37" spans="1:10" x14ac:dyDescent="0.35">
      <c r="A37" t="s">
        <v>10</v>
      </c>
      <c r="B37" t="s">
        <v>18</v>
      </c>
      <c r="C37" t="s">
        <v>19</v>
      </c>
      <c r="D37">
        <v>2020</v>
      </c>
      <c r="E37">
        <v>80.33</v>
      </c>
      <c r="F37">
        <v>54</v>
      </c>
      <c r="G37">
        <v>38.972230000000003</v>
      </c>
      <c r="H37">
        <v>20.14</v>
      </c>
      <c r="I37">
        <v>652230</v>
      </c>
      <c r="J37">
        <v>11.71</v>
      </c>
    </row>
    <row r="38" spans="1:10" x14ac:dyDescent="0.35">
      <c r="A38" t="s">
        <v>10</v>
      </c>
      <c r="B38" t="s">
        <v>18</v>
      </c>
      <c r="C38" t="s">
        <v>20</v>
      </c>
      <c r="D38">
        <v>2015</v>
      </c>
      <c r="E38">
        <v>97.33</v>
      </c>
      <c r="F38">
        <v>47.33</v>
      </c>
      <c r="G38">
        <v>157.83000000000001</v>
      </c>
      <c r="H38">
        <v>195.08</v>
      </c>
      <c r="I38">
        <v>130170</v>
      </c>
      <c r="J38" t="s">
        <v>14</v>
      </c>
    </row>
    <row r="39" spans="1:10" x14ac:dyDescent="0.35">
      <c r="A39" t="s">
        <v>10</v>
      </c>
      <c r="B39" t="s">
        <v>18</v>
      </c>
      <c r="C39" t="s">
        <v>20</v>
      </c>
      <c r="D39">
        <v>2016</v>
      </c>
      <c r="E39">
        <v>97.33</v>
      </c>
      <c r="F39">
        <v>48.67</v>
      </c>
      <c r="G39">
        <v>159.78456800000001</v>
      </c>
      <c r="H39">
        <v>265.24</v>
      </c>
      <c r="I39">
        <v>130170</v>
      </c>
      <c r="J39">
        <v>4.3499999999999996</v>
      </c>
    </row>
    <row r="40" spans="1:10" x14ac:dyDescent="0.35">
      <c r="A40" t="s">
        <v>10</v>
      </c>
      <c r="B40" t="s">
        <v>18</v>
      </c>
      <c r="C40" t="s">
        <v>20</v>
      </c>
      <c r="D40">
        <v>2017</v>
      </c>
      <c r="E40">
        <v>97.33</v>
      </c>
      <c r="F40">
        <v>50</v>
      </c>
      <c r="G40">
        <v>161.79396399999999</v>
      </c>
      <c r="H40">
        <v>293.75</v>
      </c>
      <c r="I40">
        <v>130170</v>
      </c>
      <c r="J40">
        <v>4.37</v>
      </c>
    </row>
    <row r="41" spans="1:10" x14ac:dyDescent="0.35">
      <c r="A41" t="s">
        <v>10</v>
      </c>
      <c r="B41" t="s">
        <v>18</v>
      </c>
      <c r="C41" t="s">
        <v>20</v>
      </c>
      <c r="D41">
        <v>2018</v>
      </c>
      <c r="E41">
        <v>97.33</v>
      </c>
      <c r="F41">
        <v>51.33</v>
      </c>
      <c r="G41">
        <v>163.68395799999999</v>
      </c>
      <c r="H41">
        <v>321.38</v>
      </c>
      <c r="I41">
        <v>130170</v>
      </c>
      <c r="J41" t="s">
        <v>14</v>
      </c>
    </row>
    <row r="42" spans="1:10" x14ac:dyDescent="0.35">
      <c r="A42" t="s">
        <v>10</v>
      </c>
      <c r="B42" t="s">
        <v>18</v>
      </c>
      <c r="C42" t="s">
        <v>20</v>
      </c>
      <c r="D42">
        <v>2019</v>
      </c>
      <c r="E42">
        <v>97.67</v>
      </c>
      <c r="F42">
        <v>52.67</v>
      </c>
      <c r="G42">
        <v>165.516222</v>
      </c>
      <c r="H42">
        <v>351.24</v>
      </c>
      <c r="I42">
        <v>130170</v>
      </c>
      <c r="J42" t="s">
        <v>14</v>
      </c>
    </row>
    <row r="43" spans="1:10" x14ac:dyDescent="0.35">
      <c r="A43" t="s">
        <v>10</v>
      </c>
      <c r="B43" t="s">
        <v>18</v>
      </c>
      <c r="C43" t="s">
        <v>20</v>
      </c>
      <c r="D43">
        <v>2020</v>
      </c>
      <c r="E43">
        <v>97.67</v>
      </c>
      <c r="F43">
        <v>54</v>
      </c>
      <c r="G43">
        <v>167.420951</v>
      </c>
      <c r="H43">
        <v>373.9</v>
      </c>
      <c r="I43">
        <v>130170</v>
      </c>
      <c r="J43" t="s">
        <v>14</v>
      </c>
    </row>
    <row r="44" spans="1:10" x14ac:dyDescent="0.35">
      <c r="A44" t="s">
        <v>10</v>
      </c>
      <c r="B44" t="s">
        <v>18</v>
      </c>
      <c r="C44" t="s">
        <v>21</v>
      </c>
      <c r="D44">
        <v>2015</v>
      </c>
      <c r="E44">
        <v>96.33</v>
      </c>
      <c r="F44">
        <v>70.67</v>
      </c>
      <c r="G44">
        <v>0.74327399999999999</v>
      </c>
      <c r="H44">
        <v>2</v>
      </c>
      <c r="I44">
        <v>38117</v>
      </c>
      <c r="J44">
        <v>2.4500000000000002</v>
      </c>
    </row>
    <row r="45" spans="1:10" x14ac:dyDescent="0.35">
      <c r="A45" t="s">
        <v>10</v>
      </c>
      <c r="B45" t="s">
        <v>18</v>
      </c>
      <c r="C45" t="s">
        <v>21</v>
      </c>
      <c r="D45">
        <v>2016</v>
      </c>
      <c r="E45">
        <v>97</v>
      </c>
      <c r="F45">
        <v>71.67</v>
      </c>
      <c r="G45">
        <v>0.74976100000000001</v>
      </c>
      <c r="H45">
        <v>2.16</v>
      </c>
      <c r="I45">
        <v>38144</v>
      </c>
      <c r="J45" t="s">
        <v>14</v>
      </c>
    </row>
    <row r="46" spans="1:10" x14ac:dyDescent="0.35">
      <c r="A46" t="s">
        <v>10</v>
      </c>
      <c r="B46" t="s">
        <v>18</v>
      </c>
      <c r="C46" t="s">
        <v>21</v>
      </c>
      <c r="D46">
        <v>2017</v>
      </c>
      <c r="E46">
        <v>97.33</v>
      </c>
      <c r="F46">
        <v>73.33</v>
      </c>
      <c r="G46">
        <v>0.75612100000000004</v>
      </c>
      <c r="H46">
        <v>2.4500000000000002</v>
      </c>
      <c r="I46">
        <v>38144</v>
      </c>
      <c r="J46" t="s">
        <v>14</v>
      </c>
    </row>
    <row r="47" spans="1:10" x14ac:dyDescent="0.35">
      <c r="A47" t="s">
        <v>10</v>
      </c>
      <c r="B47" t="s">
        <v>18</v>
      </c>
      <c r="C47" t="s">
        <v>21</v>
      </c>
      <c r="D47">
        <v>2018</v>
      </c>
      <c r="E47">
        <v>97.33</v>
      </c>
      <c r="F47">
        <v>74.33</v>
      </c>
      <c r="G47">
        <v>0.762096</v>
      </c>
      <c r="H47">
        <v>2.4500000000000002</v>
      </c>
      <c r="I47">
        <v>38140</v>
      </c>
      <c r="J47">
        <v>3.35</v>
      </c>
    </row>
    <row r="48" spans="1:10" x14ac:dyDescent="0.35">
      <c r="A48" t="s">
        <v>10</v>
      </c>
      <c r="B48" t="s">
        <v>18</v>
      </c>
      <c r="C48" t="s">
        <v>21</v>
      </c>
      <c r="D48">
        <v>2019</v>
      </c>
      <c r="E48">
        <v>97.33</v>
      </c>
      <c r="F48">
        <v>75</v>
      </c>
      <c r="G48">
        <v>0.767459</v>
      </c>
      <c r="H48">
        <v>2.54</v>
      </c>
      <c r="I48">
        <v>38140</v>
      </c>
      <c r="J48">
        <v>2.72</v>
      </c>
    </row>
    <row r="49" spans="1:10" x14ac:dyDescent="0.35">
      <c r="A49" t="s">
        <v>10</v>
      </c>
      <c r="B49" t="s">
        <v>18</v>
      </c>
      <c r="C49" t="s">
        <v>21</v>
      </c>
      <c r="D49">
        <v>2020</v>
      </c>
      <c r="E49">
        <v>97.33</v>
      </c>
      <c r="F49">
        <v>76.67</v>
      </c>
      <c r="G49">
        <v>0.77250600000000003</v>
      </c>
      <c r="H49">
        <v>2.33</v>
      </c>
      <c r="I49">
        <v>38140</v>
      </c>
      <c r="J49">
        <v>5.03</v>
      </c>
    </row>
    <row r="50" spans="1:10" x14ac:dyDescent="0.35">
      <c r="A50" t="s">
        <v>10</v>
      </c>
      <c r="B50" t="s">
        <v>18</v>
      </c>
      <c r="C50" t="s">
        <v>22</v>
      </c>
      <c r="D50">
        <v>2015</v>
      </c>
      <c r="E50">
        <v>89</v>
      </c>
      <c r="F50">
        <v>59.33</v>
      </c>
      <c r="G50">
        <v>1322.866505</v>
      </c>
      <c r="H50">
        <v>2103.59</v>
      </c>
      <c r="I50">
        <v>2973190</v>
      </c>
      <c r="J50" t="s">
        <v>14</v>
      </c>
    </row>
    <row r="51" spans="1:10" x14ac:dyDescent="0.35">
      <c r="A51" t="s">
        <v>10</v>
      </c>
      <c r="B51" t="s">
        <v>18</v>
      </c>
      <c r="C51" t="s">
        <v>22</v>
      </c>
      <c r="D51">
        <v>2016</v>
      </c>
      <c r="E51">
        <v>89.33</v>
      </c>
      <c r="F51">
        <v>62</v>
      </c>
      <c r="G51">
        <v>1338.63634</v>
      </c>
      <c r="H51">
        <v>2294.8000000000002</v>
      </c>
      <c r="I51">
        <v>2973190</v>
      </c>
      <c r="J51" t="s">
        <v>14</v>
      </c>
    </row>
    <row r="52" spans="1:10" x14ac:dyDescent="0.35">
      <c r="A52" t="s">
        <v>10</v>
      </c>
      <c r="B52" t="s">
        <v>18</v>
      </c>
      <c r="C52" t="s">
        <v>22</v>
      </c>
      <c r="D52">
        <v>2017</v>
      </c>
      <c r="E52">
        <v>90</v>
      </c>
      <c r="F52">
        <v>64.33</v>
      </c>
      <c r="G52">
        <v>1354.19568</v>
      </c>
      <c r="H52">
        <v>2651.47</v>
      </c>
      <c r="I52">
        <v>2973190</v>
      </c>
      <c r="J52" t="s">
        <v>14</v>
      </c>
    </row>
    <row r="53" spans="1:10" x14ac:dyDescent="0.35">
      <c r="A53" t="s">
        <v>10</v>
      </c>
      <c r="B53" t="s">
        <v>18</v>
      </c>
      <c r="C53" t="s">
        <v>22</v>
      </c>
      <c r="D53">
        <v>2018</v>
      </c>
      <c r="E53">
        <v>90.33</v>
      </c>
      <c r="F53">
        <v>67</v>
      </c>
      <c r="G53">
        <v>1369.0033060000001</v>
      </c>
      <c r="H53">
        <v>2702.93</v>
      </c>
      <c r="I53">
        <v>2973190</v>
      </c>
      <c r="J53">
        <v>7.65</v>
      </c>
    </row>
    <row r="54" spans="1:10" x14ac:dyDescent="0.35">
      <c r="A54" t="s">
        <v>10</v>
      </c>
      <c r="B54" t="s">
        <v>18</v>
      </c>
      <c r="C54" t="s">
        <v>22</v>
      </c>
      <c r="D54">
        <v>2019</v>
      </c>
      <c r="E54">
        <v>90.67</v>
      </c>
      <c r="F54">
        <v>69.67</v>
      </c>
      <c r="G54">
        <v>1383.11205</v>
      </c>
      <c r="H54">
        <v>2831.55</v>
      </c>
      <c r="I54">
        <v>2973190</v>
      </c>
      <c r="J54">
        <v>6.51</v>
      </c>
    </row>
    <row r="55" spans="1:10" x14ac:dyDescent="0.35">
      <c r="A55" t="s">
        <v>10</v>
      </c>
      <c r="B55" t="s">
        <v>18</v>
      </c>
      <c r="C55" t="s">
        <v>22</v>
      </c>
      <c r="D55">
        <v>2020</v>
      </c>
      <c r="E55">
        <v>91</v>
      </c>
      <c r="F55">
        <v>72.33</v>
      </c>
      <c r="G55">
        <v>1396.387127</v>
      </c>
      <c r="H55">
        <v>2667.69</v>
      </c>
      <c r="I55">
        <v>2973190</v>
      </c>
      <c r="J55">
        <v>7.86</v>
      </c>
    </row>
    <row r="56" spans="1:10" x14ac:dyDescent="0.35">
      <c r="A56" t="s">
        <v>10</v>
      </c>
      <c r="B56" t="s">
        <v>18</v>
      </c>
      <c r="C56" t="s">
        <v>23</v>
      </c>
      <c r="D56">
        <v>2015</v>
      </c>
      <c r="E56">
        <v>95.67</v>
      </c>
      <c r="F56">
        <v>86</v>
      </c>
      <c r="G56" t="s">
        <v>14</v>
      </c>
      <c r="H56" t="s">
        <v>14</v>
      </c>
      <c r="I56" t="s">
        <v>14</v>
      </c>
      <c r="J56" t="s">
        <v>14</v>
      </c>
    </row>
    <row r="57" spans="1:10" x14ac:dyDescent="0.35">
      <c r="A57" t="s">
        <v>10</v>
      </c>
      <c r="B57" t="s">
        <v>18</v>
      </c>
      <c r="C57" t="s">
        <v>23</v>
      </c>
      <c r="D57">
        <v>2016</v>
      </c>
      <c r="E57">
        <v>96</v>
      </c>
      <c r="F57">
        <v>87</v>
      </c>
      <c r="G57" t="s">
        <v>14</v>
      </c>
      <c r="H57" t="s">
        <v>14</v>
      </c>
      <c r="I57" t="s">
        <v>14</v>
      </c>
      <c r="J57" t="s">
        <v>14</v>
      </c>
    </row>
    <row r="58" spans="1:10" x14ac:dyDescent="0.35">
      <c r="A58" t="s">
        <v>10</v>
      </c>
      <c r="B58" t="s">
        <v>18</v>
      </c>
      <c r="C58" t="s">
        <v>23</v>
      </c>
      <c r="D58">
        <v>2017</v>
      </c>
      <c r="E58">
        <v>96.33</v>
      </c>
      <c r="F58">
        <v>87.67</v>
      </c>
      <c r="G58" t="s">
        <v>14</v>
      </c>
      <c r="H58" t="s">
        <v>14</v>
      </c>
      <c r="I58" t="s">
        <v>14</v>
      </c>
      <c r="J58" t="s">
        <v>14</v>
      </c>
    </row>
    <row r="59" spans="1:10" x14ac:dyDescent="0.35">
      <c r="A59" t="s">
        <v>10</v>
      </c>
      <c r="B59" t="s">
        <v>18</v>
      </c>
      <c r="C59" t="s">
        <v>23</v>
      </c>
      <c r="D59">
        <v>2018</v>
      </c>
      <c r="E59">
        <v>96.33</v>
      </c>
      <c r="F59">
        <v>88</v>
      </c>
      <c r="G59" t="s">
        <v>14</v>
      </c>
      <c r="H59" t="s">
        <v>14</v>
      </c>
      <c r="I59" t="s">
        <v>14</v>
      </c>
      <c r="J59" t="s">
        <v>14</v>
      </c>
    </row>
    <row r="60" spans="1:10" x14ac:dyDescent="0.35">
      <c r="A60" t="s">
        <v>10</v>
      </c>
      <c r="B60" t="s">
        <v>18</v>
      </c>
      <c r="C60" t="s">
        <v>23</v>
      </c>
      <c r="D60">
        <v>2019</v>
      </c>
      <c r="E60">
        <v>96.33</v>
      </c>
      <c r="F60">
        <v>88.33</v>
      </c>
      <c r="G60" t="s">
        <v>14</v>
      </c>
      <c r="H60" t="s">
        <v>14</v>
      </c>
      <c r="I60" t="s">
        <v>14</v>
      </c>
      <c r="J60" t="s">
        <v>14</v>
      </c>
    </row>
    <row r="61" spans="1:10" x14ac:dyDescent="0.35">
      <c r="A61" t="s">
        <v>10</v>
      </c>
      <c r="B61" t="s">
        <v>18</v>
      </c>
      <c r="C61" t="s">
        <v>23</v>
      </c>
      <c r="D61">
        <v>2020</v>
      </c>
      <c r="E61">
        <v>96.67</v>
      </c>
      <c r="F61">
        <v>88.33</v>
      </c>
      <c r="G61" t="s">
        <v>14</v>
      </c>
      <c r="H61" t="s">
        <v>14</v>
      </c>
      <c r="I61" t="s">
        <v>14</v>
      </c>
      <c r="J61" t="s">
        <v>14</v>
      </c>
    </row>
    <row r="62" spans="1:10" x14ac:dyDescent="0.35">
      <c r="A62" t="s">
        <v>10</v>
      </c>
      <c r="B62" t="s">
        <v>18</v>
      </c>
      <c r="C62" t="s">
        <v>24</v>
      </c>
      <c r="D62">
        <v>2015</v>
      </c>
      <c r="E62">
        <v>99</v>
      </c>
      <c r="F62">
        <v>94.67</v>
      </c>
      <c r="G62">
        <v>0.43558200000000002</v>
      </c>
      <c r="H62">
        <v>4.1100000000000003</v>
      </c>
      <c r="I62">
        <v>300</v>
      </c>
      <c r="J62" t="s">
        <v>14</v>
      </c>
    </row>
    <row r="63" spans="1:10" x14ac:dyDescent="0.35">
      <c r="A63" t="s">
        <v>10</v>
      </c>
      <c r="B63" t="s">
        <v>18</v>
      </c>
      <c r="C63" t="s">
        <v>24</v>
      </c>
      <c r="D63">
        <v>2016</v>
      </c>
      <c r="E63">
        <v>99</v>
      </c>
      <c r="F63">
        <v>95.33</v>
      </c>
      <c r="G63">
        <v>0.45425199999999999</v>
      </c>
      <c r="H63">
        <v>4.38</v>
      </c>
      <c r="I63">
        <v>300</v>
      </c>
      <c r="J63">
        <v>5.77</v>
      </c>
    </row>
    <row r="64" spans="1:10" x14ac:dyDescent="0.35">
      <c r="A64" t="s">
        <v>10</v>
      </c>
      <c r="B64" t="s">
        <v>18</v>
      </c>
      <c r="C64" t="s">
        <v>24</v>
      </c>
      <c r="D64">
        <v>2017</v>
      </c>
      <c r="E64">
        <v>99.33</v>
      </c>
      <c r="F64">
        <v>96.33</v>
      </c>
      <c r="G64">
        <v>0.47244199999999997</v>
      </c>
      <c r="H64">
        <v>4.75</v>
      </c>
      <c r="I64">
        <v>300</v>
      </c>
      <c r="J64" t="s">
        <v>14</v>
      </c>
    </row>
    <row r="65" spans="1:10" x14ac:dyDescent="0.35">
      <c r="A65" t="s">
        <v>10</v>
      </c>
      <c r="B65" t="s">
        <v>18</v>
      </c>
      <c r="C65" t="s">
        <v>24</v>
      </c>
      <c r="D65">
        <v>2018</v>
      </c>
      <c r="E65">
        <v>99.33</v>
      </c>
      <c r="F65">
        <v>97.67</v>
      </c>
      <c r="G65">
        <v>0.48975800000000003</v>
      </c>
      <c r="H65">
        <v>5.3</v>
      </c>
      <c r="I65">
        <v>300</v>
      </c>
      <c r="J65" t="s">
        <v>14</v>
      </c>
    </row>
    <row r="66" spans="1:10" x14ac:dyDescent="0.35">
      <c r="A66" t="s">
        <v>10</v>
      </c>
      <c r="B66" t="s">
        <v>18</v>
      </c>
      <c r="C66" t="s">
        <v>24</v>
      </c>
      <c r="D66">
        <v>2019</v>
      </c>
      <c r="E66">
        <v>99.67</v>
      </c>
      <c r="F66">
        <v>98.33</v>
      </c>
      <c r="G66">
        <v>0.50450799999999996</v>
      </c>
      <c r="H66">
        <v>5.61</v>
      </c>
      <c r="I66">
        <v>300</v>
      </c>
      <c r="J66">
        <v>4.5599999999999996</v>
      </c>
    </row>
    <row r="67" spans="1:10" x14ac:dyDescent="0.35">
      <c r="A67" t="s">
        <v>10</v>
      </c>
      <c r="B67" t="s">
        <v>18</v>
      </c>
      <c r="C67" t="s">
        <v>24</v>
      </c>
      <c r="D67">
        <v>2020</v>
      </c>
      <c r="E67">
        <v>99.67</v>
      </c>
      <c r="F67">
        <v>99.33</v>
      </c>
      <c r="G67">
        <v>0.51443799999999995</v>
      </c>
      <c r="H67">
        <v>3.75</v>
      </c>
      <c r="I67">
        <v>300</v>
      </c>
      <c r="J67" t="s">
        <v>14</v>
      </c>
    </row>
    <row r="68" spans="1:10" x14ac:dyDescent="0.35">
      <c r="A68" t="s">
        <v>10</v>
      </c>
      <c r="B68" t="s">
        <v>18</v>
      </c>
      <c r="C68" t="s">
        <v>25</v>
      </c>
      <c r="D68">
        <v>2015</v>
      </c>
      <c r="E68">
        <v>88.33</v>
      </c>
      <c r="F68">
        <v>60</v>
      </c>
      <c r="G68">
        <v>27.610325</v>
      </c>
      <c r="H68">
        <v>24.36</v>
      </c>
      <c r="I68">
        <v>143350</v>
      </c>
      <c r="J68">
        <v>3.1</v>
      </c>
    </row>
    <row r="69" spans="1:10" x14ac:dyDescent="0.35">
      <c r="A69" t="s">
        <v>10</v>
      </c>
      <c r="B69" t="s">
        <v>18</v>
      </c>
      <c r="C69" t="s">
        <v>25</v>
      </c>
      <c r="D69">
        <v>2016</v>
      </c>
      <c r="E69">
        <v>88.67</v>
      </c>
      <c r="F69">
        <v>63</v>
      </c>
      <c r="G69">
        <v>27.861186</v>
      </c>
      <c r="H69">
        <v>24.52</v>
      </c>
      <c r="I69">
        <v>143350</v>
      </c>
      <c r="J69" t="s">
        <v>14</v>
      </c>
    </row>
    <row r="70" spans="1:10" x14ac:dyDescent="0.35">
      <c r="A70" t="s">
        <v>10</v>
      </c>
      <c r="B70" t="s">
        <v>18</v>
      </c>
      <c r="C70" t="s">
        <v>25</v>
      </c>
      <c r="D70">
        <v>2017</v>
      </c>
      <c r="E70">
        <v>89</v>
      </c>
      <c r="F70">
        <v>66.67</v>
      </c>
      <c r="G70">
        <v>28.183426000000001</v>
      </c>
      <c r="H70">
        <v>28.97</v>
      </c>
      <c r="I70">
        <v>143350</v>
      </c>
      <c r="J70">
        <v>10.66</v>
      </c>
    </row>
    <row r="71" spans="1:10" x14ac:dyDescent="0.35">
      <c r="A71" t="s">
        <v>10</v>
      </c>
      <c r="B71" t="s">
        <v>18</v>
      </c>
      <c r="C71" t="s">
        <v>25</v>
      </c>
      <c r="D71">
        <v>2018</v>
      </c>
      <c r="E71">
        <v>89.33</v>
      </c>
      <c r="F71">
        <v>69.67</v>
      </c>
      <c r="G71">
        <v>28.506712</v>
      </c>
      <c r="H71">
        <v>33.11</v>
      </c>
      <c r="I71">
        <v>143350</v>
      </c>
      <c r="J71" t="s">
        <v>14</v>
      </c>
    </row>
    <row r="72" spans="1:10" x14ac:dyDescent="0.35">
      <c r="A72" t="s">
        <v>10</v>
      </c>
      <c r="B72" t="s">
        <v>18</v>
      </c>
      <c r="C72" t="s">
        <v>25</v>
      </c>
      <c r="D72">
        <v>2019</v>
      </c>
      <c r="E72">
        <v>90</v>
      </c>
      <c r="F72">
        <v>73.33</v>
      </c>
      <c r="G72">
        <v>28.832495999999999</v>
      </c>
      <c r="H72">
        <v>34.19</v>
      </c>
      <c r="I72">
        <v>143350</v>
      </c>
      <c r="J72" t="s">
        <v>14</v>
      </c>
    </row>
    <row r="73" spans="1:10" x14ac:dyDescent="0.35">
      <c r="A73" t="s">
        <v>10</v>
      </c>
      <c r="B73" t="s">
        <v>18</v>
      </c>
      <c r="C73" t="s">
        <v>25</v>
      </c>
      <c r="D73">
        <v>2020</v>
      </c>
      <c r="E73">
        <v>90</v>
      </c>
      <c r="F73">
        <v>76.67</v>
      </c>
      <c r="G73">
        <v>29.348627</v>
      </c>
      <c r="H73">
        <v>33.43</v>
      </c>
      <c r="I73">
        <v>143350</v>
      </c>
      <c r="J73" t="s">
        <v>14</v>
      </c>
    </row>
    <row r="74" spans="1:10" x14ac:dyDescent="0.35">
      <c r="A74" t="s">
        <v>10</v>
      </c>
      <c r="B74" t="s">
        <v>18</v>
      </c>
      <c r="C74" t="s">
        <v>26</v>
      </c>
      <c r="D74">
        <v>2015</v>
      </c>
      <c r="E74">
        <v>90</v>
      </c>
      <c r="F74">
        <v>61.67</v>
      </c>
      <c r="G74">
        <v>210.96929800000001</v>
      </c>
      <c r="H74">
        <v>270.56</v>
      </c>
      <c r="I74">
        <v>770880</v>
      </c>
      <c r="J74">
        <v>3.57</v>
      </c>
    </row>
    <row r="75" spans="1:10" x14ac:dyDescent="0.35">
      <c r="A75" t="s">
        <v>10</v>
      </c>
      <c r="B75" t="s">
        <v>18</v>
      </c>
      <c r="C75" t="s">
        <v>26</v>
      </c>
      <c r="D75">
        <v>2016</v>
      </c>
      <c r="E75">
        <v>90</v>
      </c>
      <c r="F75">
        <v>63.33</v>
      </c>
      <c r="G75">
        <v>213.52484000000001</v>
      </c>
      <c r="H75">
        <v>313.63</v>
      </c>
      <c r="I75">
        <v>770880</v>
      </c>
      <c r="J75" t="s">
        <v>14</v>
      </c>
    </row>
    <row r="76" spans="1:10" x14ac:dyDescent="0.35">
      <c r="A76" t="s">
        <v>10</v>
      </c>
      <c r="B76" t="s">
        <v>18</v>
      </c>
      <c r="C76" t="s">
        <v>26</v>
      </c>
      <c r="D76">
        <v>2017</v>
      </c>
      <c r="E76">
        <v>90.33</v>
      </c>
      <c r="F76">
        <v>65.33</v>
      </c>
      <c r="G76">
        <v>216.37965500000001</v>
      </c>
      <c r="H76">
        <v>339.21</v>
      </c>
      <c r="I76">
        <v>770880</v>
      </c>
      <c r="J76" t="s">
        <v>14</v>
      </c>
    </row>
    <row r="77" spans="1:10" x14ac:dyDescent="0.35">
      <c r="A77" t="s">
        <v>10</v>
      </c>
      <c r="B77" t="s">
        <v>18</v>
      </c>
      <c r="C77" t="s">
        <v>26</v>
      </c>
      <c r="D77">
        <v>2018</v>
      </c>
      <c r="E77">
        <v>90.33</v>
      </c>
      <c r="F77">
        <v>67</v>
      </c>
      <c r="G77">
        <v>219.73147900000001</v>
      </c>
      <c r="H77">
        <v>356.13</v>
      </c>
      <c r="I77">
        <v>770880</v>
      </c>
      <c r="J77">
        <v>4.08</v>
      </c>
    </row>
    <row r="78" spans="1:10" x14ac:dyDescent="0.35">
      <c r="A78" t="s">
        <v>10</v>
      </c>
      <c r="B78" t="s">
        <v>18</v>
      </c>
      <c r="C78" t="s">
        <v>26</v>
      </c>
      <c r="D78">
        <v>2019</v>
      </c>
      <c r="E78">
        <v>90.33</v>
      </c>
      <c r="F78">
        <v>68.67</v>
      </c>
      <c r="G78">
        <v>223.29328000000001</v>
      </c>
      <c r="H78">
        <v>320.91000000000003</v>
      </c>
      <c r="I78">
        <v>770880</v>
      </c>
      <c r="J78">
        <v>4.83</v>
      </c>
    </row>
    <row r="79" spans="1:10" x14ac:dyDescent="0.35">
      <c r="A79" t="s">
        <v>10</v>
      </c>
      <c r="B79" t="s">
        <v>18</v>
      </c>
      <c r="C79" t="s">
        <v>26</v>
      </c>
      <c r="D79">
        <v>2020</v>
      </c>
      <c r="E79">
        <v>90.67</v>
      </c>
      <c r="F79">
        <v>70</v>
      </c>
      <c r="G79">
        <v>227.196741</v>
      </c>
      <c r="H79">
        <v>300.43</v>
      </c>
      <c r="I79">
        <v>770880</v>
      </c>
      <c r="J79" t="s">
        <v>14</v>
      </c>
    </row>
    <row r="80" spans="1:10" x14ac:dyDescent="0.35">
      <c r="A80" t="s">
        <v>10</v>
      </c>
      <c r="B80" t="s">
        <v>18</v>
      </c>
      <c r="C80" t="s">
        <v>27</v>
      </c>
      <c r="D80">
        <v>2015</v>
      </c>
      <c r="E80">
        <v>92</v>
      </c>
      <c r="F80">
        <v>90.67</v>
      </c>
      <c r="G80">
        <v>20.97</v>
      </c>
      <c r="H80">
        <v>85.14</v>
      </c>
      <c r="I80">
        <v>61893</v>
      </c>
      <c r="J80">
        <v>4.5199999999999996</v>
      </c>
    </row>
    <row r="81" spans="1:10" x14ac:dyDescent="0.35">
      <c r="A81" t="s">
        <v>10</v>
      </c>
      <c r="B81" t="s">
        <v>18</v>
      </c>
      <c r="C81" t="s">
        <v>27</v>
      </c>
      <c r="D81">
        <v>2016</v>
      </c>
      <c r="E81">
        <v>93</v>
      </c>
      <c r="F81">
        <v>91.67</v>
      </c>
      <c r="G81">
        <v>21.202999999999999</v>
      </c>
      <c r="H81">
        <v>88.01</v>
      </c>
      <c r="I81">
        <v>61893</v>
      </c>
      <c r="J81">
        <v>4.24</v>
      </c>
    </row>
    <row r="82" spans="1:10" x14ac:dyDescent="0.35">
      <c r="A82" t="s">
        <v>10</v>
      </c>
      <c r="B82" t="s">
        <v>18</v>
      </c>
      <c r="C82" t="s">
        <v>27</v>
      </c>
      <c r="D82">
        <v>2017</v>
      </c>
      <c r="E82">
        <v>93.67</v>
      </c>
      <c r="F82">
        <v>92.67</v>
      </c>
      <c r="G82">
        <v>21.443999999999999</v>
      </c>
      <c r="H82">
        <v>94.38</v>
      </c>
      <c r="I82">
        <v>61893</v>
      </c>
      <c r="J82">
        <v>4.05</v>
      </c>
    </row>
    <row r="83" spans="1:10" x14ac:dyDescent="0.35">
      <c r="A83" t="s">
        <v>10</v>
      </c>
      <c r="B83" t="s">
        <v>18</v>
      </c>
      <c r="C83" t="s">
        <v>27</v>
      </c>
      <c r="D83">
        <v>2018</v>
      </c>
      <c r="E83">
        <v>94.33</v>
      </c>
      <c r="F83">
        <v>93.67</v>
      </c>
      <c r="G83">
        <v>21.67</v>
      </c>
      <c r="H83">
        <v>94.49</v>
      </c>
      <c r="I83">
        <v>61864</v>
      </c>
      <c r="J83">
        <v>4.32</v>
      </c>
    </row>
    <row r="84" spans="1:10" x14ac:dyDescent="0.35">
      <c r="A84" t="s">
        <v>10</v>
      </c>
      <c r="B84" t="s">
        <v>18</v>
      </c>
      <c r="C84" t="s">
        <v>27</v>
      </c>
      <c r="D84">
        <v>2019</v>
      </c>
      <c r="E84">
        <v>94.33</v>
      </c>
      <c r="F84">
        <v>93.67</v>
      </c>
      <c r="G84">
        <v>21.803000000000001</v>
      </c>
      <c r="H84">
        <v>89.01</v>
      </c>
      <c r="I84">
        <v>61864.47</v>
      </c>
      <c r="J84">
        <v>4.67</v>
      </c>
    </row>
    <row r="85" spans="1:10" x14ac:dyDescent="0.35">
      <c r="A85" t="s">
        <v>10</v>
      </c>
      <c r="B85" t="s">
        <v>18</v>
      </c>
      <c r="C85" t="s">
        <v>27</v>
      </c>
      <c r="D85">
        <v>2020</v>
      </c>
      <c r="E85">
        <v>94.33</v>
      </c>
      <c r="F85">
        <v>93.67</v>
      </c>
      <c r="G85">
        <v>21.919</v>
      </c>
      <c r="H85">
        <v>85.35</v>
      </c>
      <c r="I85">
        <v>61860</v>
      </c>
      <c r="J85">
        <v>5.36</v>
      </c>
    </row>
    <row r="86" spans="1:10" x14ac:dyDescent="0.35">
      <c r="A86" t="s">
        <v>28</v>
      </c>
      <c r="B86" t="s">
        <v>29</v>
      </c>
      <c r="C86" t="s">
        <v>30</v>
      </c>
      <c r="D86">
        <v>2015</v>
      </c>
      <c r="E86">
        <v>91.33</v>
      </c>
      <c r="F86">
        <v>83.67</v>
      </c>
      <c r="G86">
        <v>1379.86</v>
      </c>
      <c r="H86">
        <v>11061.55</v>
      </c>
      <c r="I86">
        <v>9424701.4000000004</v>
      </c>
      <c r="J86" t="s">
        <v>14</v>
      </c>
    </row>
    <row r="87" spans="1:10" x14ac:dyDescent="0.35">
      <c r="A87" t="s">
        <v>28</v>
      </c>
      <c r="B87" t="s">
        <v>29</v>
      </c>
      <c r="C87" t="s">
        <v>30</v>
      </c>
      <c r="D87">
        <v>2016</v>
      </c>
      <c r="E87">
        <v>91.33</v>
      </c>
      <c r="F87">
        <v>85.67</v>
      </c>
      <c r="G87">
        <v>1387.79</v>
      </c>
      <c r="H87">
        <v>11233.28</v>
      </c>
      <c r="I87">
        <v>9424700.5</v>
      </c>
      <c r="J87" t="s">
        <v>14</v>
      </c>
    </row>
    <row r="88" spans="1:10" x14ac:dyDescent="0.35">
      <c r="A88" t="s">
        <v>28</v>
      </c>
      <c r="B88" t="s">
        <v>29</v>
      </c>
      <c r="C88" t="s">
        <v>30</v>
      </c>
      <c r="D88">
        <v>2017</v>
      </c>
      <c r="E88">
        <v>92</v>
      </c>
      <c r="F88">
        <v>87</v>
      </c>
      <c r="G88">
        <v>1396.2149999999999</v>
      </c>
      <c r="H88">
        <v>12310.41</v>
      </c>
      <c r="I88">
        <v>9424700.8000000007</v>
      </c>
      <c r="J88">
        <v>3.9</v>
      </c>
    </row>
    <row r="89" spans="1:10" x14ac:dyDescent="0.35">
      <c r="A89" t="s">
        <v>28</v>
      </c>
      <c r="B89" t="s">
        <v>29</v>
      </c>
      <c r="C89" t="s">
        <v>30</v>
      </c>
      <c r="D89">
        <v>2018</v>
      </c>
      <c r="E89">
        <v>92.67</v>
      </c>
      <c r="F89">
        <v>88.33</v>
      </c>
      <c r="G89">
        <v>1402.76</v>
      </c>
      <c r="H89">
        <v>13894.82</v>
      </c>
      <c r="I89">
        <v>9424702.9000000004</v>
      </c>
      <c r="J89">
        <v>4.93</v>
      </c>
    </row>
    <row r="90" spans="1:10" x14ac:dyDescent="0.35">
      <c r="A90" t="s">
        <v>28</v>
      </c>
      <c r="B90" t="s">
        <v>29</v>
      </c>
      <c r="C90" t="s">
        <v>30</v>
      </c>
      <c r="D90">
        <v>2019</v>
      </c>
      <c r="E90">
        <v>93.33</v>
      </c>
      <c r="F90">
        <v>90.33</v>
      </c>
      <c r="G90">
        <v>1407.7449999999999</v>
      </c>
      <c r="H90">
        <v>14279.94</v>
      </c>
      <c r="I90">
        <v>9424702.9000000004</v>
      </c>
      <c r="J90">
        <v>5.15</v>
      </c>
    </row>
    <row r="91" spans="1:10" x14ac:dyDescent="0.35">
      <c r="A91" t="s">
        <v>28</v>
      </c>
      <c r="B91" t="s">
        <v>29</v>
      </c>
      <c r="C91" t="s">
        <v>30</v>
      </c>
      <c r="D91">
        <v>2020</v>
      </c>
      <c r="E91">
        <v>93.67</v>
      </c>
      <c r="F91">
        <v>91.67</v>
      </c>
      <c r="G91">
        <v>1411.1</v>
      </c>
      <c r="H91">
        <v>14687.67</v>
      </c>
      <c r="I91">
        <v>9424702.9000000004</v>
      </c>
      <c r="J91">
        <v>5.61</v>
      </c>
    </row>
    <row r="92" spans="1:10" x14ac:dyDescent="0.35">
      <c r="A92" t="s">
        <v>28</v>
      </c>
      <c r="B92" t="s">
        <v>29</v>
      </c>
      <c r="C92" t="s">
        <v>31</v>
      </c>
      <c r="D92">
        <v>2015</v>
      </c>
      <c r="E92">
        <v>94.67</v>
      </c>
      <c r="F92">
        <v>80.33</v>
      </c>
      <c r="G92" t="s">
        <v>14</v>
      </c>
      <c r="H92" t="s">
        <v>14</v>
      </c>
      <c r="I92" t="s">
        <v>14</v>
      </c>
      <c r="J92" t="s">
        <v>14</v>
      </c>
    </row>
    <row r="93" spans="1:10" x14ac:dyDescent="0.35">
      <c r="A93" t="s">
        <v>28</v>
      </c>
      <c r="B93" t="s">
        <v>29</v>
      </c>
      <c r="C93" t="s">
        <v>31</v>
      </c>
      <c r="D93">
        <v>2016</v>
      </c>
      <c r="E93">
        <v>94.33</v>
      </c>
      <c r="F93">
        <v>81</v>
      </c>
      <c r="G93" t="s">
        <v>14</v>
      </c>
      <c r="H93" t="s">
        <v>14</v>
      </c>
      <c r="I93" t="s">
        <v>14</v>
      </c>
      <c r="J93" t="s">
        <v>14</v>
      </c>
    </row>
    <row r="94" spans="1:10" x14ac:dyDescent="0.35">
      <c r="A94" t="s">
        <v>28</v>
      </c>
      <c r="B94" t="s">
        <v>29</v>
      </c>
      <c r="C94" t="s">
        <v>31</v>
      </c>
      <c r="D94">
        <v>2017</v>
      </c>
      <c r="E94">
        <v>94</v>
      </c>
      <c r="F94">
        <v>81.67</v>
      </c>
      <c r="G94" t="s">
        <v>14</v>
      </c>
      <c r="H94" t="s">
        <v>14</v>
      </c>
      <c r="I94" t="s">
        <v>14</v>
      </c>
      <c r="J94" t="s">
        <v>14</v>
      </c>
    </row>
    <row r="95" spans="1:10" x14ac:dyDescent="0.35">
      <c r="A95" t="s">
        <v>28</v>
      </c>
      <c r="B95" t="s">
        <v>29</v>
      </c>
      <c r="C95" t="s">
        <v>31</v>
      </c>
      <c r="D95">
        <v>2018</v>
      </c>
      <c r="E95">
        <v>93.33</v>
      </c>
      <c r="F95">
        <v>82.67</v>
      </c>
      <c r="G95" t="s">
        <v>14</v>
      </c>
      <c r="H95" t="s">
        <v>14</v>
      </c>
      <c r="I95" t="s">
        <v>14</v>
      </c>
      <c r="J95" t="s">
        <v>14</v>
      </c>
    </row>
    <row r="96" spans="1:10" x14ac:dyDescent="0.35">
      <c r="A96" t="s">
        <v>28</v>
      </c>
      <c r="B96" t="s">
        <v>29</v>
      </c>
      <c r="C96" t="s">
        <v>31</v>
      </c>
      <c r="D96">
        <v>2019</v>
      </c>
      <c r="E96">
        <v>93.33</v>
      </c>
      <c r="F96">
        <v>83.33</v>
      </c>
      <c r="G96" t="s">
        <v>14</v>
      </c>
      <c r="H96" t="s">
        <v>14</v>
      </c>
      <c r="I96" t="s">
        <v>14</v>
      </c>
      <c r="J96" t="s">
        <v>14</v>
      </c>
    </row>
    <row r="97" spans="1:10" x14ac:dyDescent="0.35">
      <c r="A97" t="s">
        <v>28</v>
      </c>
      <c r="B97" t="s">
        <v>29</v>
      </c>
      <c r="C97" t="s">
        <v>31</v>
      </c>
      <c r="D97">
        <v>2020</v>
      </c>
      <c r="E97">
        <v>93.33</v>
      </c>
      <c r="F97">
        <v>83.33</v>
      </c>
      <c r="G97" t="s">
        <v>14</v>
      </c>
      <c r="H97" t="s">
        <v>14</v>
      </c>
      <c r="I97" t="s">
        <v>14</v>
      </c>
      <c r="J97" t="s">
        <v>14</v>
      </c>
    </row>
    <row r="98" spans="1:10" x14ac:dyDescent="0.35">
      <c r="A98" t="s">
        <v>28</v>
      </c>
      <c r="B98" t="s">
        <v>29</v>
      </c>
      <c r="C98" t="s">
        <v>32</v>
      </c>
      <c r="D98">
        <v>2015</v>
      </c>
      <c r="E98">
        <v>99</v>
      </c>
      <c r="F98">
        <v>100</v>
      </c>
      <c r="G98">
        <v>127.14100000000001</v>
      </c>
      <c r="H98">
        <v>4444.93</v>
      </c>
      <c r="I98">
        <v>364500</v>
      </c>
      <c r="J98">
        <v>3.39</v>
      </c>
    </row>
    <row r="99" spans="1:10" x14ac:dyDescent="0.35">
      <c r="A99" t="s">
        <v>28</v>
      </c>
      <c r="B99" t="s">
        <v>29</v>
      </c>
      <c r="C99" t="s">
        <v>32</v>
      </c>
      <c r="D99">
        <v>2016</v>
      </c>
      <c r="E99">
        <v>99</v>
      </c>
      <c r="F99">
        <v>100</v>
      </c>
      <c r="G99">
        <v>127.07599999999999</v>
      </c>
      <c r="H99">
        <v>5003.68</v>
      </c>
      <c r="I99">
        <v>364500</v>
      </c>
      <c r="J99">
        <v>3.13</v>
      </c>
    </row>
    <row r="100" spans="1:10" x14ac:dyDescent="0.35">
      <c r="A100" t="s">
        <v>28</v>
      </c>
      <c r="B100" t="s">
        <v>29</v>
      </c>
      <c r="C100" t="s">
        <v>32</v>
      </c>
      <c r="D100">
        <v>2017</v>
      </c>
      <c r="E100">
        <v>99</v>
      </c>
      <c r="F100">
        <v>100</v>
      </c>
      <c r="G100">
        <v>126.97199999999999</v>
      </c>
      <c r="H100">
        <v>4930.84</v>
      </c>
      <c r="I100">
        <v>364500</v>
      </c>
      <c r="J100">
        <v>2.82</v>
      </c>
    </row>
    <row r="101" spans="1:10" x14ac:dyDescent="0.35">
      <c r="A101" t="s">
        <v>28</v>
      </c>
      <c r="B101" t="s">
        <v>29</v>
      </c>
      <c r="C101" t="s">
        <v>32</v>
      </c>
      <c r="D101">
        <v>2018</v>
      </c>
      <c r="E101">
        <v>99</v>
      </c>
      <c r="F101">
        <v>100</v>
      </c>
      <c r="G101">
        <v>126.81100000000001</v>
      </c>
      <c r="H101">
        <v>5037.84</v>
      </c>
      <c r="I101">
        <v>364500</v>
      </c>
      <c r="J101">
        <v>2.4700000000000002</v>
      </c>
    </row>
    <row r="102" spans="1:10" x14ac:dyDescent="0.35">
      <c r="A102" t="s">
        <v>28</v>
      </c>
      <c r="B102" t="s">
        <v>29</v>
      </c>
      <c r="C102" t="s">
        <v>32</v>
      </c>
      <c r="D102">
        <v>2019</v>
      </c>
      <c r="E102">
        <v>99</v>
      </c>
      <c r="F102">
        <v>100</v>
      </c>
      <c r="G102">
        <v>126.633</v>
      </c>
      <c r="H102">
        <v>5123.32</v>
      </c>
      <c r="I102">
        <v>364500</v>
      </c>
      <c r="J102">
        <v>2.35</v>
      </c>
    </row>
    <row r="103" spans="1:10" x14ac:dyDescent="0.35">
      <c r="A103" t="s">
        <v>28</v>
      </c>
      <c r="B103" t="s">
        <v>29</v>
      </c>
      <c r="C103" t="s">
        <v>32</v>
      </c>
      <c r="D103">
        <v>2020</v>
      </c>
      <c r="E103">
        <v>99</v>
      </c>
      <c r="F103">
        <v>100</v>
      </c>
      <c r="G103">
        <v>126.261</v>
      </c>
      <c r="H103">
        <v>5040.1099999999997</v>
      </c>
      <c r="I103">
        <v>364500</v>
      </c>
      <c r="J103">
        <v>2.81</v>
      </c>
    </row>
    <row r="104" spans="1:10" x14ac:dyDescent="0.35">
      <c r="A104" t="s">
        <v>28</v>
      </c>
      <c r="B104" t="s">
        <v>29</v>
      </c>
      <c r="C104" t="s">
        <v>33</v>
      </c>
      <c r="D104">
        <v>2015</v>
      </c>
      <c r="E104">
        <v>75.67</v>
      </c>
      <c r="F104">
        <v>58.67</v>
      </c>
      <c r="G104">
        <v>2.9647489999999999</v>
      </c>
      <c r="H104">
        <v>11.62</v>
      </c>
      <c r="I104">
        <v>1557255.4</v>
      </c>
      <c r="J104">
        <v>4.8600000000000003</v>
      </c>
    </row>
    <row r="105" spans="1:10" x14ac:dyDescent="0.35">
      <c r="A105" t="s">
        <v>28</v>
      </c>
      <c r="B105" t="s">
        <v>29</v>
      </c>
      <c r="C105" t="s">
        <v>33</v>
      </c>
      <c r="D105">
        <v>2016</v>
      </c>
      <c r="E105">
        <v>77</v>
      </c>
      <c r="F105">
        <v>59.67</v>
      </c>
      <c r="G105">
        <v>3.0295550000000002</v>
      </c>
      <c r="H105">
        <v>11.18</v>
      </c>
      <c r="I105">
        <v>1557255.4</v>
      </c>
      <c r="J105">
        <v>7.24</v>
      </c>
    </row>
    <row r="106" spans="1:10" x14ac:dyDescent="0.35">
      <c r="A106" t="s">
        <v>28</v>
      </c>
      <c r="B106" t="s">
        <v>29</v>
      </c>
      <c r="C106" t="s">
        <v>33</v>
      </c>
      <c r="D106">
        <v>2017</v>
      </c>
      <c r="E106">
        <v>78</v>
      </c>
      <c r="F106">
        <v>61</v>
      </c>
      <c r="G106">
        <v>3.0960299999999998</v>
      </c>
      <c r="H106">
        <v>11.48</v>
      </c>
      <c r="I106">
        <v>1557255.4</v>
      </c>
      <c r="J106">
        <v>6.36</v>
      </c>
    </row>
    <row r="107" spans="1:10" x14ac:dyDescent="0.35">
      <c r="A107" t="s">
        <v>28</v>
      </c>
      <c r="B107" t="s">
        <v>29</v>
      </c>
      <c r="C107" t="s">
        <v>33</v>
      </c>
      <c r="D107">
        <v>2018</v>
      </c>
      <c r="E107">
        <v>79</v>
      </c>
      <c r="F107">
        <v>62</v>
      </c>
      <c r="G107">
        <v>3.1639910000000002</v>
      </c>
      <c r="H107">
        <v>13.18</v>
      </c>
      <c r="I107">
        <v>1557255</v>
      </c>
      <c r="J107">
        <v>5.38</v>
      </c>
    </row>
    <row r="108" spans="1:10" x14ac:dyDescent="0.35">
      <c r="A108" t="s">
        <v>28</v>
      </c>
      <c r="B108" t="s">
        <v>29</v>
      </c>
      <c r="C108" t="s">
        <v>33</v>
      </c>
      <c r="D108">
        <v>2019</v>
      </c>
      <c r="E108">
        <v>80</v>
      </c>
      <c r="F108">
        <v>63.67</v>
      </c>
      <c r="G108">
        <v>3.2324299999999999</v>
      </c>
      <c r="H108">
        <v>14.21</v>
      </c>
      <c r="I108">
        <v>1557258</v>
      </c>
      <c r="J108">
        <v>9.27</v>
      </c>
    </row>
    <row r="109" spans="1:10" x14ac:dyDescent="0.35">
      <c r="A109" t="s">
        <v>28</v>
      </c>
      <c r="B109" t="s">
        <v>29</v>
      </c>
      <c r="C109" t="s">
        <v>33</v>
      </c>
      <c r="D109">
        <v>2020</v>
      </c>
      <c r="E109">
        <v>81</v>
      </c>
      <c r="F109">
        <v>65</v>
      </c>
      <c r="G109">
        <v>3.2943349999999998</v>
      </c>
      <c r="H109">
        <v>13.31</v>
      </c>
      <c r="I109">
        <v>1557506.8</v>
      </c>
      <c r="J109">
        <v>6.59</v>
      </c>
    </row>
    <row r="110" spans="1:10" x14ac:dyDescent="0.35">
      <c r="A110" t="s">
        <v>28</v>
      </c>
      <c r="B110" t="s">
        <v>29</v>
      </c>
      <c r="C110" t="s">
        <v>34</v>
      </c>
      <c r="D110">
        <v>2015</v>
      </c>
      <c r="E110">
        <v>99</v>
      </c>
      <c r="F110">
        <v>100</v>
      </c>
      <c r="G110" t="s">
        <v>14</v>
      </c>
      <c r="H110" t="s">
        <v>14</v>
      </c>
      <c r="I110" t="s">
        <v>14</v>
      </c>
      <c r="J110" t="s">
        <v>14</v>
      </c>
    </row>
    <row r="111" spans="1:10" x14ac:dyDescent="0.35">
      <c r="A111" t="s">
        <v>28</v>
      </c>
      <c r="B111" t="s">
        <v>29</v>
      </c>
      <c r="C111" t="s">
        <v>34</v>
      </c>
      <c r="D111">
        <v>2016</v>
      </c>
      <c r="E111">
        <v>100</v>
      </c>
      <c r="F111">
        <v>100</v>
      </c>
      <c r="G111" t="s">
        <v>14</v>
      </c>
      <c r="H111" t="s">
        <v>14</v>
      </c>
      <c r="I111" t="s">
        <v>14</v>
      </c>
      <c r="J111" t="s">
        <v>14</v>
      </c>
    </row>
    <row r="112" spans="1:10" x14ac:dyDescent="0.35">
      <c r="A112" t="s">
        <v>28</v>
      </c>
      <c r="B112" t="s">
        <v>29</v>
      </c>
      <c r="C112" t="s">
        <v>34</v>
      </c>
      <c r="D112">
        <v>2017</v>
      </c>
      <c r="E112">
        <v>100</v>
      </c>
      <c r="F112">
        <v>100</v>
      </c>
      <c r="G112" t="s">
        <v>14</v>
      </c>
      <c r="H112" t="s">
        <v>14</v>
      </c>
      <c r="I112" t="s">
        <v>14</v>
      </c>
      <c r="J112" t="s">
        <v>14</v>
      </c>
    </row>
    <row r="113" spans="1:10" x14ac:dyDescent="0.35">
      <c r="A113" t="s">
        <v>28</v>
      </c>
      <c r="B113" t="s">
        <v>29</v>
      </c>
      <c r="C113" t="s">
        <v>34</v>
      </c>
      <c r="D113">
        <v>2018</v>
      </c>
      <c r="E113">
        <v>100</v>
      </c>
      <c r="F113">
        <v>100</v>
      </c>
      <c r="G113" t="s">
        <v>14</v>
      </c>
      <c r="H113" t="s">
        <v>14</v>
      </c>
      <c r="I113" t="s">
        <v>14</v>
      </c>
      <c r="J113" t="s">
        <v>14</v>
      </c>
    </row>
    <row r="114" spans="1:10" x14ac:dyDescent="0.35">
      <c r="A114" t="s">
        <v>28</v>
      </c>
      <c r="B114" t="s">
        <v>29</v>
      </c>
      <c r="C114" t="s">
        <v>34</v>
      </c>
      <c r="D114">
        <v>2019</v>
      </c>
      <c r="E114">
        <v>100</v>
      </c>
      <c r="F114">
        <v>100</v>
      </c>
      <c r="G114" t="s">
        <v>14</v>
      </c>
      <c r="H114" t="s">
        <v>14</v>
      </c>
      <c r="I114" t="s">
        <v>14</v>
      </c>
      <c r="J114" t="s">
        <v>14</v>
      </c>
    </row>
    <row r="115" spans="1:10" x14ac:dyDescent="0.35">
      <c r="A115" t="s">
        <v>28</v>
      </c>
      <c r="B115" t="s">
        <v>29</v>
      </c>
      <c r="C115" t="s">
        <v>34</v>
      </c>
      <c r="D115">
        <v>2020</v>
      </c>
      <c r="E115">
        <v>100</v>
      </c>
      <c r="F115">
        <v>100</v>
      </c>
      <c r="G115" t="s">
        <v>14</v>
      </c>
      <c r="H115" t="s">
        <v>14</v>
      </c>
      <c r="I115" t="s">
        <v>14</v>
      </c>
      <c r="J115" t="s">
        <v>14</v>
      </c>
    </row>
    <row r="116" spans="1:10" x14ac:dyDescent="0.35">
      <c r="A116" t="s">
        <v>28</v>
      </c>
      <c r="B116" t="s">
        <v>35</v>
      </c>
      <c r="C116" t="s">
        <v>36</v>
      </c>
      <c r="D116">
        <v>2015</v>
      </c>
      <c r="E116">
        <v>99.67</v>
      </c>
      <c r="F116">
        <v>96</v>
      </c>
      <c r="G116">
        <v>0.42143700000000001</v>
      </c>
      <c r="H116">
        <v>12.93</v>
      </c>
      <c r="I116">
        <v>5270</v>
      </c>
      <c r="J116" t="s">
        <v>14</v>
      </c>
    </row>
    <row r="117" spans="1:10" x14ac:dyDescent="0.35">
      <c r="A117" t="s">
        <v>28</v>
      </c>
      <c r="B117" t="s">
        <v>35</v>
      </c>
      <c r="C117" t="s">
        <v>36</v>
      </c>
      <c r="D117">
        <v>2016</v>
      </c>
      <c r="E117">
        <v>100</v>
      </c>
      <c r="F117" t="s">
        <v>14</v>
      </c>
      <c r="G117">
        <v>0.42599399999999998</v>
      </c>
      <c r="H117">
        <v>11.4</v>
      </c>
      <c r="I117">
        <v>5270</v>
      </c>
      <c r="J117" t="s">
        <v>14</v>
      </c>
    </row>
    <row r="118" spans="1:10" x14ac:dyDescent="0.35">
      <c r="A118" t="s">
        <v>28</v>
      </c>
      <c r="B118" t="s">
        <v>35</v>
      </c>
      <c r="C118" t="s">
        <v>36</v>
      </c>
      <c r="D118">
        <v>2017</v>
      </c>
      <c r="E118">
        <v>100</v>
      </c>
      <c r="F118" t="s">
        <v>14</v>
      </c>
      <c r="G118">
        <v>0.43027599999999999</v>
      </c>
      <c r="H118">
        <v>12.13</v>
      </c>
      <c r="I118">
        <v>5270</v>
      </c>
      <c r="J118">
        <v>9.32</v>
      </c>
    </row>
    <row r="119" spans="1:10" x14ac:dyDescent="0.35">
      <c r="A119" t="s">
        <v>28</v>
      </c>
      <c r="B119" t="s">
        <v>35</v>
      </c>
      <c r="C119" t="s">
        <v>36</v>
      </c>
      <c r="D119">
        <v>2018</v>
      </c>
      <c r="E119">
        <v>100</v>
      </c>
      <c r="F119" t="s">
        <v>14</v>
      </c>
      <c r="G119">
        <v>0.43427399999999999</v>
      </c>
      <c r="H119">
        <v>13.57</v>
      </c>
      <c r="I119">
        <v>5270</v>
      </c>
      <c r="J119">
        <v>8.6999999999999993</v>
      </c>
    </row>
    <row r="120" spans="1:10" x14ac:dyDescent="0.35">
      <c r="A120" t="s">
        <v>28</v>
      </c>
      <c r="B120" t="s">
        <v>35</v>
      </c>
      <c r="C120" t="s">
        <v>36</v>
      </c>
      <c r="D120">
        <v>2019</v>
      </c>
      <c r="E120">
        <v>100</v>
      </c>
      <c r="F120" t="s">
        <v>14</v>
      </c>
      <c r="G120">
        <v>0.43804799999999999</v>
      </c>
      <c r="H120">
        <v>13.47</v>
      </c>
      <c r="I120">
        <v>5270</v>
      </c>
      <c r="J120">
        <v>6.6</v>
      </c>
    </row>
    <row r="121" spans="1:10" x14ac:dyDescent="0.35">
      <c r="A121" t="s">
        <v>28</v>
      </c>
      <c r="B121" t="s">
        <v>35</v>
      </c>
      <c r="C121" t="s">
        <v>36</v>
      </c>
      <c r="D121">
        <v>2020</v>
      </c>
      <c r="E121">
        <v>100</v>
      </c>
      <c r="F121" t="s">
        <v>14</v>
      </c>
      <c r="G121">
        <v>0.44172499999999998</v>
      </c>
      <c r="H121">
        <v>12.01</v>
      </c>
      <c r="I121">
        <v>5270</v>
      </c>
      <c r="J121">
        <v>7.41</v>
      </c>
    </row>
    <row r="122" spans="1:10" x14ac:dyDescent="0.35">
      <c r="A122" t="s">
        <v>28</v>
      </c>
      <c r="B122" t="s">
        <v>35</v>
      </c>
      <c r="C122" t="s">
        <v>37</v>
      </c>
      <c r="D122">
        <v>2015</v>
      </c>
      <c r="E122">
        <v>73.33</v>
      </c>
      <c r="F122">
        <v>60.33</v>
      </c>
      <c r="G122">
        <v>15.417522999999999</v>
      </c>
      <c r="H122">
        <v>18.05</v>
      </c>
      <c r="I122">
        <v>176520</v>
      </c>
      <c r="J122">
        <v>0.39</v>
      </c>
    </row>
    <row r="123" spans="1:10" x14ac:dyDescent="0.35">
      <c r="A123" t="s">
        <v>28</v>
      </c>
      <c r="B123" t="s">
        <v>35</v>
      </c>
      <c r="C123" t="s">
        <v>37</v>
      </c>
      <c r="D123">
        <v>2016</v>
      </c>
      <c r="E123">
        <v>73.67</v>
      </c>
      <c r="F123">
        <v>63</v>
      </c>
      <c r="G123">
        <v>15.624584</v>
      </c>
      <c r="H123">
        <v>20.02</v>
      </c>
      <c r="I123">
        <v>176520</v>
      </c>
      <c r="J123">
        <v>0.72</v>
      </c>
    </row>
    <row r="124" spans="1:10" x14ac:dyDescent="0.35">
      <c r="A124" t="s">
        <v>28</v>
      </c>
      <c r="B124" t="s">
        <v>35</v>
      </c>
      <c r="C124" t="s">
        <v>37</v>
      </c>
      <c r="D124">
        <v>2017</v>
      </c>
      <c r="E124">
        <v>74.33</v>
      </c>
      <c r="F124">
        <v>65.67</v>
      </c>
      <c r="G124">
        <v>15.830689</v>
      </c>
      <c r="H124">
        <v>22.18</v>
      </c>
      <c r="I124">
        <v>176520</v>
      </c>
      <c r="J124">
        <v>0.14000000000000001</v>
      </c>
    </row>
    <row r="125" spans="1:10" x14ac:dyDescent="0.35">
      <c r="A125" t="s">
        <v>28</v>
      </c>
      <c r="B125" t="s">
        <v>35</v>
      </c>
      <c r="C125" t="s">
        <v>37</v>
      </c>
      <c r="D125">
        <v>2018</v>
      </c>
      <c r="E125">
        <v>74.67</v>
      </c>
      <c r="F125">
        <v>68.33</v>
      </c>
      <c r="G125">
        <v>16.025238000000002</v>
      </c>
      <c r="H125">
        <v>24.57</v>
      </c>
      <c r="I125">
        <v>176520</v>
      </c>
      <c r="J125" t="s">
        <v>14</v>
      </c>
    </row>
    <row r="126" spans="1:10" x14ac:dyDescent="0.35">
      <c r="A126" t="s">
        <v>28</v>
      </c>
      <c r="B126" t="s">
        <v>35</v>
      </c>
      <c r="C126" t="s">
        <v>37</v>
      </c>
      <c r="D126">
        <v>2019</v>
      </c>
      <c r="E126">
        <v>75.33</v>
      </c>
      <c r="F126">
        <v>71.67</v>
      </c>
      <c r="G126">
        <v>16.207746</v>
      </c>
      <c r="H126">
        <v>27.09</v>
      </c>
      <c r="I126">
        <v>176520</v>
      </c>
      <c r="J126">
        <v>0.5</v>
      </c>
    </row>
    <row r="127" spans="1:10" x14ac:dyDescent="0.35">
      <c r="A127" t="s">
        <v>28</v>
      </c>
      <c r="B127" t="s">
        <v>35</v>
      </c>
      <c r="C127" t="s">
        <v>37</v>
      </c>
      <c r="D127">
        <v>2020</v>
      </c>
      <c r="E127">
        <v>75.33</v>
      </c>
      <c r="F127">
        <v>74.33</v>
      </c>
      <c r="G127">
        <v>16.39686</v>
      </c>
      <c r="H127">
        <v>25.87</v>
      </c>
      <c r="I127">
        <v>176520</v>
      </c>
      <c r="J127" t="s">
        <v>14</v>
      </c>
    </row>
    <row r="128" spans="1:10" x14ac:dyDescent="0.35">
      <c r="A128" t="s">
        <v>28</v>
      </c>
      <c r="B128" t="s">
        <v>35</v>
      </c>
      <c r="C128" t="s">
        <v>38</v>
      </c>
      <c r="D128">
        <v>2015</v>
      </c>
      <c r="E128">
        <v>88.33</v>
      </c>
      <c r="F128">
        <v>73.33</v>
      </c>
      <c r="G128">
        <v>259.09197</v>
      </c>
      <c r="H128">
        <v>860.85</v>
      </c>
      <c r="I128">
        <v>1877519</v>
      </c>
      <c r="J128">
        <v>4.51</v>
      </c>
    </row>
    <row r="129" spans="1:10" x14ac:dyDescent="0.35">
      <c r="A129" t="s">
        <v>28</v>
      </c>
      <c r="B129" t="s">
        <v>35</v>
      </c>
      <c r="C129" t="s">
        <v>38</v>
      </c>
      <c r="D129">
        <v>2016</v>
      </c>
      <c r="E129">
        <v>89</v>
      </c>
      <c r="F129">
        <v>75.33</v>
      </c>
      <c r="G129">
        <v>261.85018200000002</v>
      </c>
      <c r="H129">
        <v>931.88</v>
      </c>
      <c r="I129">
        <v>1877519</v>
      </c>
      <c r="J129">
        <v>4.3</v>
      </c>
    </row>
    <row r="130" spans="1:10" x14ac:dyDescent="0.35">
      <c r="A130" t="s">
        <v>28</v>
      </c>
      <c r="B130" t="s">
        <v>35</v>
      </c>
      <c r="C130" t="s">
        <v>38</v>
      </c>
      <c r="D130">
        <v>2017</v>
      </c>
      <c r="E130">
        <v>89.67</v>
      </c>
      <c r="F130">
        <v>78.33</v>
      </c>
      <c r="G130">
        <v>264.498852</v>
      </c>
      <c r="H130">
        <v>1015.62</v>
      </c>
      <c r="I130">
        <v>1877519</v>
      </c>
      <c r="J130">
        <v>3.78</v>
      </c>
    </row>
    <row r="131" spans="1:10" x14ac:dyDescent="0.35">
      <c r="A131" t="s">
        <v>28</v>
      </c>
      <c r="B131" t="s">
        <v>35</v>
      </c>
      <c r="C131" t="s">
        <v>38</v>
      </c>
      <c r="D131">
        <v>2018</v>
      </c>
      <c r="E131">
        <v>90.67</v>
      </c>
      <c r="F131">
        <v>80.67</v>
      </c>
      <c r="G131">
        <v>267.06684300000001</v>
      </c>
      <c r="H131">
        <v>1042.27</v>
      </c>
      <c r="I131">
        <v>1877519</v>
      </c>
      <c r="J131">
        <v>4.3899999999999997</v>
      </c>
    </row>
    <row r="132" spans="1:10" x14ac:dyDescent="0.35">
      <c r="A132" t="s">
        <v>28</v>
      </c>
      <c r="B132" t="s">
        <v>35</v>
      </c>
      <c r="C132" t="s">
        <v>38</v>
      </c>
      <c r="D132">
        <v>2019</v>
      </c>
      <c r="E132">
        <v>91.33</v>
      </c>
      <c r="F132">
        <v>83.33</v>
      </c>
      <c r="G132">
        <v>269.58287799999999</v>
      </c>
      <c r="H132">
        <v>1119.0999999999999</v>
      </c>
      <c r="I132">
        <v>1877519</v>
      </c>
      <c r="J132">
        <v>3.59</v>
      </c>
    </row>
    <row r="133" spans="1:10" x14ac:dyDescent="0.35">
      <c r="A133" t="s">
        <v>28</v>
      </c>
      <c r="B133" t="s">
        <v>35</v>
      </c>
      <c r="C133" t="s">
        <v>38</v>
      </c>
      <c r="D133">
        <v>2020</v>
      </c>
      <c r="E133">
        <v>92</v>
      </c>
      <c r="F133">
        <v>86</v>
      </c>
      <c r="G133">
        <v>271.85797000000002</v>
      </c>
      <c r="H133">
        <v>1058.69</v>
      </c>
      <c r="I133">
        <v>1877519</v>
      </c>
      <c r="J133">
        <v>4.25</v>
      </c>
    </row>
    <row r="134" spans="1:10" x14ac:dyDescent="0.35">
      <c r="A134" t="s">
        <v>28</v>
      </c>
      <c r="B134" t="s">
        <v>35</v>
      </c>
      <c r="C134" t="s">
        <v>39</v>
      </c>
      <c r="D134">
        <v>2015</v>
      </c>
      <c r="E134">
        <v>79.67</v>
      </c>
      <c r="F134">
        <v>73.67</v>
      </c>
      <c r="G134" t="s">
        <v>14</v>
      </c>
      <c r="H134" t="s">
        <v>14</v>
      </c>
      <c r="I134" t="s">
        <v>14</v>
      </c>
      <c r="J134" t="s">
        <v>14</v>
      </c>
    </row>
    <row r="135" spans="1:10" x14ac:dyDescent="0.35">
      <c r="A135" t="s">
        <v>28</v>
      </c>
      <c r="B135" t="s">
        <v>35</v>
      </c>
      <c r="C135" t="s">
        <v>39</v>
      </c>
      <c r="D135">
        <v>2016</v>
      </c>
      <c r="E135">
        <v>82</v>
      </c>
      <c r="F135">
        <v>75.67</v>
      </c>
      <c r="G135" t="s">
        <v>14</v>
      </c>
      <c r="H135" t="s">
        <v>14</v>
      </c>
      <c r="I135" t="s">
        <v>14</v>
      </c>
      <c r="J135" t="s">
        <v>14</v>
      </c>
    </row>
    <row r="136" spans="1:10" x14ac:dyDescent="0.35">
      <c r="A136" t="s">
        <v>28</v>
      </c>
      <c r="B136" t="s">
        <v>35</v>
      </c>
      <c r="C136" t="s">
        <v>39</v>
      </c>
      <c r="D136">
        <v>2017</v>
      </c>
      <c r="E136">
        <v>83.33</v>
      </c>
      <c r="F136">
        <v>78.33</v>
      </c>
      <c r="G136" t="s">
        <v>14</v>
      </c>
      <c r="H136" t="s">
        <v>14</v>
      </c>
      <c r="I136" t="s">
        <v>14</v>
      </c>
      <c r="J136" t="s">
        <v>14</v>
      </c>
    </row>
    <row r="137" spans="1:10" x14ac:dyDescent="0.35">
      <c r="A137" t="s">
        <v>28</v>
      </c>
      <c r="B137" t="s">
        <v>35</v>
      </c>
      <c r="C137" t="s">
        <v>39</v>
      </c>
      <c r="D137">
        <v>2018</v>
      </c>
      <c r="E137">
        <v>85</v>
      </c>
      <c r="F137">
        <v>80</v>
      </c>
      <c r="G137" t="s">
        <v>14</v>
      </c>
      <c r="H137" t="s">
        <v>14</v>
      </c>
      <c r="I137" t="s">
        <v>14</v>
      </c>
      <c r="J137" t="s">
        <v>14</v>
      </c>
    </row>
    <row r="138" spans="1:10" x14ac:dyDescent="0.35">
      <c r="A138" t="s">
        <v>28</v>
      </c>
      <c r="B138" t="s">
        <v>35</v>
      </c>
      <c r="C138" t="s">
        <v>39</v>
      </c>
      <c r="D138">
        <v>2019</v>
      </c>
      <c r="E138">
        <v>86.67</v>
      </c>
      <c r="F138">
        <v>82</v>
      </c>
      <c r="G138" t="s">
        <v>14</v>
      </c>
      <c r="H138" t="s">
        <v>14</v>
      </c>
      <c r="I138" t="s">
        <v>14</v>
      </c>
      <c r="J138" t="s">
        <v>14</v>
      </c>
    </row>
    <row r="139" spans="1:10" x14ac:dyDescent="0.35">
      <c r="A139" t="s">
        <v>28</v>
      </c>
      <c r="B139" t="s">
        <v>35</v>
      </c>
      <c r="C139" t="s">
        <v>39</v>
      </c>
      <c r="D139">
        <v>2020</v>
      </c>
      <c r="E139">
        <v>86.67</v>
      </c>
      <c r="F139">
        <v>82</v>
      </c>
      <c r="G139" t="s">
        <v>14</v>
      </c>
      <c r="H139" t="s">
        <v>14</v>
      </c>
      <c r="I139" t="s">
        <v>14</v>
      </c>
      <c r="J139" t="s">
        <v>14</v>
      </c>
    </row>
    <row r="140" spans="1:10" x14ac:dyDescent="0.35">
      <c r="A140" t="s">
        <v>28</v>
      </c>
      <c r="B140" t="s">
        <v>35</v>
      </c>
      <c r="C140" t="s">
        <v>40</v>
      </c>
      <c r="D140">
        <v>2015</v>
      </c>
      <c r="E140">
        <v>95.67</v>
      </c>
      <c r="F140">
        <v>99.67</v>
      </c>
      <c r="G140">
        <v>31.068833000000001</v>
      </c>
      <c r="H140">
        <v>301.35000000000002</v>
      </c>
      <c r="I140">
        <v>328550</v>
      </c>
      <c r="J140">
        <v>3.1</v>
      </c>
    </row>
    <row r="141" spans="1:10" x14ac:dyDescent="0.35">
      <c r="A141" t="s">
        <v>28</v>
      </c>
      <c r="B141" t="s">
        <v>35</v>
      </c>
      <c r="C141" t="s">
        <v>40</v>
      </c>
      <c r="D141">
        <v>2016</v>
      </c>
      <c r="E141">
        <v>95.67</v>
      </c>
      <c r="F141">
        <v>99.67</v>
      </c>
      <c r="G141">
        <v>31.526418</v>
      </c>
      <c r="H141">
        <v>301.26</v>
      </c>
      <c r="I141">
        <v>328550</v>
      </c>
      <c r="J141">
        <v>3.44</v>
      </c>
    </row>
    <row r="142" spans="1:10" x14ac:dyDescent="0.35">
      <c r="A142" t="s">
        <v>28</v>
      </c>
      <c r="B142" t="s">
        <v>35</v>
      </c>
      <c r="C142" t="s">
        <v>40</v>
      </c>
      <c r="D142">
        <v>2017</v>
      </c>
      <c r="E142">
        <v>95.67</v>
      </c>
      <c r="F142">
        <v>99.67</v>
      </c>
      <c r="G142">
        <v>31.975805999999999</v>
      </c>
      <c r="H142">
        <v>319.11</v>
      </c>
      <c r="I142">
        <v>328550</v>
      </c>
      <c r="J142">
        <v>3.41</v>
      </c>
    </row>
    <row r="143" spans="1:10" x14ac:dyDescent="0.35">
      <c r="A143" t="s">
        <v>28</v>
      </c>
      <c r="B143" t="s">
        <v>35</v>
      </c>
      <c r="C143" t="s">
        <v>40</v>
      </c>
      <c r="D143">
        <v>2018</v>
      </c>
      <c r="E143">
        <v>95.33</v>
      </c>
      <c r="F143">
        <v>99.67</v>
      </c>
      <c r="G143">
        <v>32.399270999999999</v>
      </c>
      <c r="H143">
        <v>358.79</v>
      </c>
      <c r="I143">
        <v>328550</v>
      </c>
      <c r="J143">
        <v>3.3</v>
      </c>
    </row>
    <row r="144" spans="1:10" x14ac:dyDescent="0.35">
      <c r="A144" t="s">
        <v>28</v>
      </c>
      <c r="B144" t="s">
        <v>35</v>
      </c>
      <c r="C144" t="s">
        <v>40</v>
      </c>
      <c r="D144">
        <v>2019</v>
      </c>
      <c r="E144">
        <v>95.33</v>
      </c>
      <c r="F144">
        <v>100</v>
      </c>
      <c r="G144">
        <v>32.804020000000001</v>
      </c>
      <c r="H144">
        <v>365.18</v>
      </c>
      <c r="I144">
        <v>328550</v>
      </c>
      <c r="J144">
        <v>3.26</v>
      </c>
    </row>
    <row r="145" spans="1:10" x14ac:dyDescent="0.35">
      <c r="A145" t="s">
        <v>28</v>
      </c>
      <c r="B145" t="s">
        <v>35</v>
      </c>
      <c r="C145" t="s">
        <v>40</v>
      </c>
      <c r="D145">
        <v>2020</v>
      </c>
      <c r="E145">
        <v>95.33</v>
      </c>
      <c r="F145">
        <v>100</v>
      </c>
      <c r="G145">
        <v>33.199992999999999</v>
      </c>
      <c r="H145">
        <v>337.34</v>
      </c>
      <c r="I145">
        <v>328550</v>
      </c>
      <c r="J145">
        <v>4.54</v>
      </c>
    </row>
    <row r="146" spans="1:10" x14ac:dyDescent="0.35">
      <c r="A146" t="s">
        <v>28</v>
      </c>
      <c r="B146" t="s">
        <v>35</v>
      </c>
      <c r="C146" t="s">
        <v>41</v>
      </c>
      <c r="D146">
        <v>2015</v>
      </c>
      <c r="E146">
        <v>76.33</v>
      </c>
      <c r="F146">
        <v>73</v>
      </c>
      <c r="G146">
        <v>51.483949000000003</v>
      </c>
      <c r="H146">
        <v>63.05</v>
      </c>
      <c r="I146">
        <v>653080</v>
      </c>
      <c r="J146">
        <v>0.77</v>
      </c>
    </row>
    <row r="147" spans="1:10" x14ac:dyDescent="0.35">
      <c r="A147" t="s">
        <v>28</v>
      </c>
      <c r="B147" t="s">
        <v>35</v>
      </c>
      <c r="C147" t="s">
        <v>41</v>
      </c>
      <c r="D147">
        <v>2016</v>
      </c>
      <c r="E147">
        <v>78.33</v>
      </c>
      <c r="F147">
        <v>73.33</v>
      </c>
      <c r="G147">
        <v>51.892349000000003</v>
      </c>
      <c r="H147">
        <v>60.29</v>
      </c>
      <c r="I147">
        <v>652780</v>
      </c>
      <c r="J147" t="s">
        <v>14</v>
      </c>
    </row>
    <row r="148" spans="1:10" x14ac:dyDescent="0.35">
      <c r="A148" t="s">
        <v>28</v>
      </c>
      <c r="B148" t="s">
        <v>35</v>
      </c>
      <c r="C148" t="s">
        <v>41</v>
      </c>
      <c r="D148">
        <v>2017</v>
      </c>
      <c r="E148">
        <v>80.33</v>
      </c>
      <c r="F148">
        <v>73.67</v>
      </c>
      <c r="G148">
        <v>52.288341000000003</v>
      </c>
      <c r="H148">
        <v>61.45</v>
      </c>
      <c r="I148">
        <v>652750</v>
      </c>
      <c r="J148">
        <v>1.36</v>
      </c>
    </row>
    <row r="149" spans="1:10" x14ac:dyDescent="0.35">
      <c r="A149" t="s">
        <v>28</v>
      </c>
      <c r="B149" t="s">
        <v>35</v>
      </c>
      <c r="C149" t="s">
        <v>41</v>
      </c>
      <c r="D149">
        <v>2018</v>
      </c>
      <c r="E149">
        <v>82.33</v>
      </c>
      <c r="F149">
        <v>74.33</v>
      </c>
      <c r="G149">
        <v>52.666013999999997</v>
      </c>
      <c r="H149">
        <v>67.14</v>
      </c>
      <c r="I149">
        <v>652700</v>
      </c>
      <c r="J149">
        <v>0.77</v>
      </c>
    </row>
    <row r="150" spans="1:10" x14ac:dyDescent="0.35">
      <c r="A150" t="s">
        <v>28</v>
      </c>
      <c r="B150" t="s">
        <v>35</v>
      </c>
      <c r="C150" t="s">
        <v>41</v>
      </c>
      <c r="D150">
        <v>2019</v>
      </c>
      <c r="E150">
        <v>84</v>
      </c>
      <c r="F150">
        <v>74</v>
      </c>
      <c r="G150">
        <v>53.040211999999997</v>
      </c>
      <c r="H150">
        <v>68.7</v>
      </c>
      <c r="I150">
        <v>652700</v>
      </c>
      <c r="J150">
        <v>0.41</v>
      </c>
    </row>
    <row r="151" spans="1:10" x14ac:dyDescent="0.35">
      <c r="A151" t="s">
        <v>28</v>
      </c>
      <c r="B151" t="s">
        <v>35</v>
      </c>
      <c r="C151" t="s">
        <v>41</v>
      </c>
      <c r="D151">
        <v>2020</v>
      </c>
      <c r="E151">
        <v>85.67</v>
      </c>
      <c r="F151">
        <v>74.67</v>
      </c>
      <c r="G151">
        <v>53.423197999999999</v>
      </c>
      <c r="H151">
        <v>78.930000000000007</v>
      </c>
      <c r="I151">
        <v>652670</v>
      </c>
      <c r="J151">
        <v>1.48</v>
      </c>
    </row>
    <row r="152" spans="1:10" x14ac:dyDescent="0.35">
      <c r="A152" t="s">
        <v>28</v>
      </c>
      <c r="B152" t="s">
        <v>35</v>
      </c>
      <c r="C152" t="s">
        <v>42</v>
      </c>
      <c r="D152">
        <v>2015</v>
      </c>
      <c r="E152">
        <v>92</v>
      </c>
      <c r="F152">
        <v>75.33</v>
      </c>
      <c r="G152">
        <v>103.03136499999999</v>
      </c>
      <c r="H152">
        <v>306.45</v>
      </c>
      <c r="I152">
        <v>298170</v>
      </c>
      <c r="J152">
        <v>3.07</v>
      </c>
    </row>
    <row r="153" spans="1:10" x14ac:dyDescent="0.35">
      <c r="A153" t="s">
        <v>28</v>
      </c>
      <c r="B153" t="s">
        <v>35</v>
      </c>
      <c r="C153" t="s">
        <v>42</v>
      </c>
      <c r="D153">
        <v>2016</v>
      </c>
      <c r="E153">
        <v>92.67</v>
      </c>
      <c r="F153">
        <v>76.67</v>
      </c>
      <c r="G153">
        <v>104.875266</v>
      </c>
      <c r="H153">
        <v>318.63</v>
      </c>
      <c r="I153">
        <v>298170</v>
      </c>
      <c r="J153">
        <v>2.7</v>
      </c>
    </row>
    <row r="154" spans="1:10" x14ac:dyDescent="0.35">
      <c r="A154" t="s">
        <v>28</v>
      </c>
      <c r="B154" t="s">
        <v>35</v>
      </c>
      <c r="C154" t="s">
        <v>42</v>
      </c>
      <c r="D154">
        <v>2017</v>
      </c>
      <c r="E154">
        <v>93</v>
      </c>
      <c r="F154">
        <v>78</v>
      </c>
      <c r="G154">
        <v>106.738501</v>
      </c>
      <c r="H154">
        <v>328.48</v>
      </c>
      <c r="I154">
        <v>298170</v>
      </c>
      <c r="J154">
        <v>2.5499999999999998</v>
      </c>
    </row>
    <row r="155" spans="1:10" x14ac:dyDescent="0.35">
      <c r="A155" t="s">
        <v>28</v>
      </c>
      <c r="B155" t="s">
        <v>35</v>
      </c>
      <c r="C155" t="s">
        <v>42</v>
      </c>
      <c r="D155">
        <v>2018</v>
      </c>
      <c r="E155">
        <v>93.33</v>
      </c>
      <c r="F155">
        <v>79.33</v>
      </c>
      <c r="G155">
        <v>108.568836</v>
      </c>
      <c r="H155">
        <v>346.84</v>
      </c>
      <c r="I155">
        <v>298170</v>
      </c>
      <c r="J155">
        <v>2.34</v>
      </c>
    </row>
    <row r="156" spans="1:10" x14ac:dyDescent="0.35">
      <c r="A156" t="s">
        <v>28</v>
      </c>
      <c r="B156" t="s">
        <v>35</v>
      </c>
      <c r="C156" t="s">
        <v>42</v>
      </c>
      <c r="D156">
        <v>2019</v>
      </c>
      <c r="E156">
        <v>93.67</v>
      </c>
      <c r="F156">
        <v>81</v>
      </c>
      <c r="G156">
        <v>110.380804</v>
      </c>
      <c r="H156">
        <v>376.82</v>
      </c>
      <c r="I156">
        <v>298170</v>
      </c>
      <c r="J156">
        <v>2.2400000000000002</v>
      </c>
    </row>
    <row r="157" spans="1:10" x14ac:dyDescent="0.35">
      <c r="A157" t="s">
        <v>28</v>
      </c>
      <c r="B157" t="s">
        <v>35</v>
      </c>
      <c r="C157" t="s">
        <v>42</v>
      </c>
      <c r="D157">
        <v>2020</v>
      </c>
      <c r="E157">
        <v>94</v>
      </c>
      <c r="F157">
        <v>82</v>
      </c>
      <c r="G157">
        <v>112.190977</v>
      </c>
      <c r="H157">
        <v>361.75</v>
      </c>
      <c r="I157">
        <v>298170</v>
      </c>
      <c r="J157">
        <v>2.52</v>
      </c>
    </row>
    <row r="158" spans="1:10" x14ac:dyDescent="0.35">
      <c r="A158" t="s">
        <v>28</v>
      </c>
      <c r="B158" t="s">
        <v>35</v>
      </c>
      <c r="C158" t="s">
        <v>43</v>
      </c>
      <c r="D158">
        <v>2015</v>
      </c>
      <c r="E158">
        <v>100</v>
      </c>
      <c r="F158">
        <v>100</v>
      </c>
      <c r="G158">
        <v>5.5350020000000004</v>
      </c>
      <c r="H158">
        <v>308</v>
      </c>
      <c r="I158">
        <v>709</v>
      </c>
      <c r="J158">
        <v>3.79</v>
      </c>
    </row>
    <row r="159" spans="1:10" x14ac:dyDescent="0.35">
      <c r="A159" t="s">
        <v>28</v>
      </c>
      <c r="B159" t="s">
        <v>35</v>
      </c>
      <c r="C159" t="s">
        <v>43</v>
      </c>
      <c r="D159">
        <v>2016</v>
      </c>
      <c r="E159">
        <v>100</v>
      </c>
      <c r="F159">
        <v>100</v>
      </c>
      <c r="G159">
        <v>5.6072829999999998</v>
      </c>
      <c r="H159">
        <v>318.83</v>
      </c>
      <c r="I159">
        <v>709</v>
      </c>
      <c r="J159">
        <v>4.08</v>
      </c>
    </row>
    <row r="160" spans="1:10" x14ac:dyDescent="0.35">
      <c r="A160" t="s">
        <v>28</v>
      </c>
      <c r="B160" t="s">
        <v>35</v>
      </c>
      <c r="C160" t="s">
        <v>43</v>
      </c>
      <c r="D160">
        <v>2017</v>
      </c>
      <c r="E160">
        <v>100</v>
      </c>
      <c r="F160">
        <v>100</v>
      </c>
      <c r="G160">
        <v>5.6122529999999999</v>
      </c>
      <c r="H160">
        <v>343.19</v>
      </c>
      <c r="I160">
        <v>712</v>
      </c>
      <c r="J160">
        <v>4.2</v>
      </c>
    </row>
    <row r="161" spans="1:10" x14ac:dyDescent="0.35">
      <c r="A161" t="s">
        <v>28</v>
      </c>
      <c r="B161" t="s">
        <v>35</v>
      </c>
      <c r="C161" t="s">
        <v>43</v>
      </c>
      <c r="D161">
        <v>2018</v>
      </c>
      <c r="E161">
        <v>100</v>
      </c>
      <c r="F161">
        <v>100</v>
      </c>
      <c r="G161">
        <v>5.6386760000000002</v>
      </c>
      <c r="H161">
        <v>377</v>
      </c>
      <c r="I161">
        <v>714</v>
      </c>
      <c r="J161" t="s">
        <v>14</v>
      </c>
    </row>
    <row r="162" spans="1:10" x14ac:dyDescent="0.35">
      <c r="A162" t="s">
        <v>28</v>
      </c>
      <c r="B162" t="s">
        <v>35</v>
      </c>
      <c r="C162" t="s">
        <v>43</v>
      </c>
      <c r="D162">
        <v>2019</v>
      </c>
      <c r="E162">
        <v>100</v>
      </c>
      <c r="F162">
        <v>100</v>
      </c>
      <c r="G162">
        <v>5.7035689999999999</v>
      </c>
      <c r="H162">
        <v>375.47</v>
      </c>
      <c r="I162">
        <v>716</v>
      </c>
      <c r="J162">
        <v>3.1</v>
      </c>
    </row>
    <row r="163" spans="1:10" x14ac:dyDescent="0.35">
      <c r="A163" t="s">
        <v>28</v>
      </c>
      <c r="B163" t="s">
        <v>35</v>
      </c>
      <c r="C163" t="s">
        <v>43</v>
      </c>
      <c r="D163">
        <v>2020</v>
      </c>
      <c r="E163">
        <v>100</v>
      </c>
      <c r="F163">
        <v>100</v>
      </c>
      <c r="G163">
        <v>5.6858069999999996</v>
      </c>
      <c r="H163">
        <v>345.3</v>
      </c>
      <c r="I163">
        <v>718</v>
      </c>
      <c r="J163">
        <v>4.0999999999999996</v>
      </c>
    </row>
    <row r="164" spans="1:10" x14ac:dyDescent="0.35">
      <c r="A164" t="s">
        <v>28</v>
      </c>
      <c r="B164" t="s">
        <v>35</v>
      </c>
      <c r="C164" t="s">
        <v>44</v>
      </c>
      <c r="D164">
        <v>2015</v>
      </c>
      <c r="E164">
        <v>99.33</v>
      </c>
      <c r="F164">
        <v>97</v>
      </c>
      <c r="G164">
        <v>70.294397000000004</v>
      </c>
      <c r="H164">
        <v>401.3</v>
      </c>
      <c r="I164">
        <v>510890</v>
      </c>
      <c r="J164">
        <v>0.6</v>
      </c>
    </row>
    <row r="165" spans="1:10" x14ac:dyDescent="0.35">
      <c r="A165" t="s">
        <v>28</v>
      </c>
      <c r="B165" t="s">
        <v>35</v>
      </c>
      <c r="C165" t="s">
        <v>44</v>
      </c>
      <c r="D165">
        <v>2016</v>
      </c>
      <c r="E165">
        <v>99.33</v>
      </c>
      <c r="F165">
        <v>97.33</v>
      </c>
      <c r="G165">
        <v>70.607037000000005</v>
      </c>
      <c r="H165">
        <v>413.37</v>
      </c>
      <c r="I165">
        <v>510890</v>
      </c>
      <c r="J165">
        <v>0.69</v>
      </c>
    </row>
    <row r="166" spans="1:10" x14ac:dyDescent="0.35">
      <c r="A166" t="s">
        <v>28</v>
      </c>
      <c r="B166" t="s">
        <v>35</v>
      </c>
      <c r="C166" t="s">
        <v>44</v>
      </c>
      <c r="D166">
        <v>2017</v>
      </c>
      <c r="E166">
        <v>100</v>
      </c>
      <c r="F166">
        <v>98</v>
      </c>
      <c r="G166">
        <v>70.898201999999998</v>
      </c>
      <c r="H166">
        <v>456.36</v>
      </c>
      <c r="I166">
        <v>510890</v>
      </c>
      <c r="J166">
        <v>0.83</v>
      </c>
    </row>
    <row r="167" spans="1:10" x14ac:dyDescent="0.35">
      <c r="A167" t="s">
        <v>28</v>
      </c>
      <c r="B167" t="s">
        <v>35</v>
      </c>
      <c r="C167" t="s">
        <v>44</v>
      </c>
      <c r="D167">
        <v>2018</v>
      </c>
      <c r="E167">
        <v>100</v>
      </c>
      <c r="F167">
        <v>98</v>
      </c>
      <c r="G167">
        <v>71.127802000000003</v>
      </c>
      <c r="H167">
        <v>506.75</v>
      </c>
      <c r="I167">
        <v>510890</v>
      </c>
      <c r="J167">
        <v>0.77</v>
      </c>
    </row>
    <row r="168" spans="1:10" x14ac:dyDescent="0.35">
      <c r="A168" t="s">
        <v>28</v>
      </c>
      <c r="B168" t="s">
        <v>35</v>
      </c>
      <c r="C168" t="s">
        <v>44</v>
      </c>
      <c r="D168">
        <v>2019</v>
      </c>
      <c r="E168">
        <v>100</v>
      </c>
      <c r="F168">
        <v>98.33</v>
      </c>
      <c r="G168">
        <v>71.307762999999994</v>
      </c>
      <c r="H168">
        <v>544.08000000000004</v>
      </c>
      <c r="I168">
        <v>510890</v>
      </c>
      <c r="J168">
        <v>0.72</v>
      </c>
    </row>
    <row r="169" spans="1:10" x14ac:dyDescent="0.35">
      <c r="A169" t="s">
        <v>28</v>
      </c>
      <c r="B169" t="s">
        <v>35</v>
      </c>
      <c r="C169" t="s">
        <v>44</v>
      </c>
      <c r="D169">
        <v>2020</v>
      </c>
      <c r="E169">
        <v>100</v>
      </c>
      <c r="F169">
        <v>98.67</v>
      </c>
      <c r="G169">
        <v>71.475663999999995</v>
      </c>
      <c r="H169">
        <v>499.68</v>
      </c>
      <c r="I169">
        <v>510890</v>
      </c>
      <c r="J169">
        <v>1.1000000000000001</v>
      </c>
    </row>
    <row r="170" spans="1:10" x14ac:dyDescent="0.35">
      <c r="A170" t="s">
        <v>28</v>
      </c>
      <c r="B170" t="s">
        <v>35</v>
      </c>
      <c r="C170" t="s">
        <v>45</v>
      </c>
      <c r="D170">
        <v>2015</v>
      </c>
      <c r="E170">
        <v>78</v>
      </c>
      <c r="F170">
        <v>55</v>
      </c>
      <c r="G170">
        <v>1.205813</v>
      </c>
      <c r="H170">
        <v>1.59</v>
      </c>
      <c r="I170">
        <v>14870</v>
      </c>
      <c r="J170" t="s">
        <v>14</v>
      </c>
    </row>
    <row r="171" spans="1:10" x14ac:dyDescent="0.35">
      <c r="A171" t="s">
        <v>28</v>
      </c>
      <c r="B171" t="s">
        <v>35</v>
      </c>
      <c r="C171" t="s">
        <v>45</v>
      </c>
      <c r="D171">
        <v>2016</v>
      </c>
      <c r="E171">
        <v>80.67</v>
      </c>
      <c r="F171">
        <v>55.67</v>
      </c>
      <c r="G171">
        <v>1.2245619999999999</v>
      </c>
      <c r="H171">
        <v>1.65</v>
      </c>
      <c r="I171">
        <v>14870</v>
      </c>
      <c r="J171">
        <v>4.66</v>
      </c>
    </row>
    <row r="172" spans="1:10" x14ac:dyDescent="0.35">
      <c r="A172" t="s">
        <v>28</v>
      </c>
      <c r="B172" t="s">
        <v>35</v>
      </c>
      <c r="C172" t="s">
        <v>45</v>
      </c>
      <c r="D172">
        <v>2017</v>
      </c>
      <c r="E172">
        <v>82.33</v>
      </c>
      <c r="F172">
        <v>57.33</v>
      </c>
      <c r="G172">
        <v>1.2432350000000001</v>
      </c>
      <c r="H172">
        <v>1.6</v>
      </c>
      <c r="I172">
        <v>14870</v>
      </c>
      <c r="J172" t="s">
        <v>14</v>
      </c>
    </row>
    <row r="173" spans="1:10" x14ac:dyDescent="0.35">
      <c r="A173" t="s">
        <v>28</v>
      </c>
      <c r="B173" t="s">
        <v>35</v>
      </c>
      <c r="C173" t="s">
        <v>45</v>
      </c>
      <c r="D173">
        <v>2018</v>
      </c>
      <c r="E173">
        <v>84.33</v>
      </c>
      <c r="F173">
        <v>58</v>
      </c>
      <c r="G173">
        <v>1.2618450000000001</v>
      </c>
      <c r="H173">
        <v>1.56</v>
      </c>
      <c r="I173">
        <v>14870</v>
      </c>
      <c r="J173" t="s">
        <v>14</v>
      </c>
    </row>
    <row r="174" spans="1:10" x14ac:dyDescent="0.35">
      <c r="A174" t="s">
        <v>28</v>
      </c>
      <c r="B174" t="s">
        <v>35</v>
      </c>
      <c r="C174" t="s">
        <v>45</v>
      </c>
      <c r="D174">
        <v>2019</v>
      </c>
      <c r="E174">
        <v>86</v>
      </c>
      <c r="F174">
        <v>59</v>
      </c>
      <c r="G174">
        <v>1.280438</v>
      </c>
      <c r="H174">
        <v>2.0299999999999998</v>
      </c>
      <c r="I174">
        <v>14870</v>
      </c>
      <c r="J174" t="s">
        <v>14</v>
      </c>
    </row>
    <row r="175" spans="1:10" x14ac:dyDescent="0.35">
      <c r="A175" t="s">
        <v>28</v>
      </c>
      <c r="B175" t="s">
        <v>35</v>
      </c>
      <c r="C175" t="s">
        <v>45</v>
      </c>
      <c r="D175">
        <v>2020</v>
      </c>
      <c r="E175">
        <v>87</v>
      </c>
      <c r="F175">
        <v>60</v>
      </c>
      <c r="G175">
        <v>1.299995</v>
      </c>
      <c r="H175">
        <v>2.16</v>
      </c>
      <c r="I175">
        <v>14870</v>
      </c>
      <c r="J175" t="s">
        <v>14</v>
      </c>
    </row>
    <row r="176" spans="1:10" x14ac:dyDescent="0.35">
      <c r="A176" t="s">
        <v>28</v>
      </c>
      <c r="B176" t="s">
        <v>35</v>
      </c>
      <c r="C176" t="s">
        <v>46</v>
      </c>
      <c r="D176">
        <v>2015</v>
      </c>
      <c r="E176">
        <v>94</v>
      </c>
      <c r="F176">
        <v>83</v>
      </c>
      <c r="G176" t="s">
        <v>14</v>
      </c>
      <c r="H176" t="s">
        <v>14</v>
      </c>
      <c r="I176" t="s">
        <v>14</v>
      </c>
      <c r="J176" t="s">
        <v>14</v>
      </c>
    </row>
    <row r="177" spans="1:10" x14ac:dyDescent="0.35">
      <c r="A177" t="s">
        <v>28</v>
      </c>
      <c r="B177" t="s">
        <v>35</v>
      </c>
      <c r="C177" t="s">
        <v>46</v>
      </c>
      <c r="D177">
        <v>2016</v>
      </c>
      <c r="E177">
        <v>95</v>
      </c>
      <c r="F177">
        <v>84.67</v>
      </c>
      <c r="G177" t="s">
        <v>14</v>
      </c>
      <c r="H177" t="s">
        <v>14</v>
      </c>
      <c r="I177" t="s">
        <v>14</v>
      </c>
      <c r="J177" t="s">
        <v>14</v>
      </c>
    </row>
    <row r="178" spans="1:10" x14ac:dyDescent="0.35">
      <c r="A178" t="s">
        <v>28</v>
      </c>
      <c r="B178" t="s">
        <v>35</v>
      </c>
      <c r="C178" t="s">
        <v>46</v>
      </c>
      <c r="D178">
        <v>2017</v>
      </c>
      <c r="E178">
        <v>95.67</v>
      </c>
      <c r="F178">
        <v>85.67</v>
      </c>
      <c r="G178" t="s">
        <v>14</v>
      </c>
      <c r="H178" t="s">
        <v>14</v>
      </c>
      <c r="I178" t="s">
        <v>14</v>
      </c>
      <c r="J178" t="s">
        <v>14</v>
      </c>
    </row>
    <row r="179" spans="1:10" x14ac:dyDescent="0.35">
      <c r="A179" t="s">
        <v>28</v>
      </c>
      <c r="B179" t="s">
        <v>35</v>
      </c>
      <c r="C179" t="s">
        <v>46</v>
      </c>
      <c r="D179">
        <v>2018</v>
      </c>
      <c r="E179">
        <v>96.33</v>
      </c>
      <c r="F179">
        <v>87.33</v>
      </c>
      <c r="G179" t="s">
        <v>14</v>
      </c>
      <c r="H179" t="s">
        <v>14</v>
      </c>
      <c r="I179" t="s">
        <v>14</v>
      </c>
      <c r="J179" t="s">
        <v>14</v>
      </c>
    </row>
    <row r="180" spans="1:10" x14ac:dyDescent="0.35">
      <c r="A180" t="s">
        <v>28</v>
      </c>
      <c r="B180" t="s">
        <v>35</v>
      </c>
      <c r="C180" t="s">
        <v>46</v>
      </c>
      <c r="D180">
        <v>2019</v>
      </c>
      <c r="E180">
        <v>96.67</v>
      </c>
      <c r="F180">
        <v>89</v>
      </c>
      <c r="G180" t="s">
        <v>14</v>
      </c>
      <c r="H180" t="s">
        <v>14</v>
      </c>
      <c r="I180" t="s">
        <v>14</v>
      </c>
      <c r="J180" t="s">
        <v>14</v>
      </c>
    </row>
    <row r="181" spans="1:10" x14ac:dyDescent="0.35">
      <c r="A181" t="s">
        <v>28</v>
      </c>
      <c r="B181" t="s">
        <v>35</v>
      </c>
      <c r="C181" t="s">
        <v>46</v>
      </c>
      <c r="D181">
        <v>2020</v>
      </c>
      <c r="E181">
        <v>97.33</v>
      </c>
      <c r="F181">
        <v>90</v>
      </c>
      <c r="G181" t="s">
        <v>14</v>
      </c>
      <c r="H181" t="s">
        <v>14</v>
      </c>
      <c r="I181" t="s">
        <v>14</v>
      </c>
      <c r="J181" t="s">
        <v>14</v>
      </c>
    </row>
    <row r="182" spans="1:10" x14ac:dyDescent="0.35">
      <c r="A182" t="s">
        <v>47</v>
      </c>
      <c r="B182" t="s">
        <v>48</v>
      </c>
      <c r="C182" t="s">
        <v>49</v>
      </c>
      <c r="D182">
        <v>2015</v>
      </c>
      <c r="E182">
        <v>100</v>
      </c>
      <c r="F182">
        <v>100</v>
      </c>
      <c r="G182">
        <v>6.5237000000000003E-2</v>
      </c>
      <c r="H182">
        <v>6.65</v>
      </c>
      <c r="I182">
        <v>54</v>
      </c>
      <c r="J182" t="s">
        <v>14</v>
      </c>
    </row>
    <row r="183" spans="1:10" x14ac:dyDescent="0.35">
      <c r="A183" t="s">
        <v>47</v>
      </c>
      <c r="B183" t="s">
        <v>48</v>
      </c>
      <c r="C183" t="s">
        <v>49</v>
      </c>
      <c r="D183">
        <v>2016</v>
      </c>
      <c r="E183">
        <v>100</v>
      </c>
      <c r="F183">
        <v>100</v>
      </c>
      <c r="G183">
        <v>6.4554E-2</v>
      </c>
      <c r="H183">
        <v>6.9</v>
      </c>
      <c r="I183">
        <v>54</v>
      </c>
      <c r="J183" t="s">
        <v>14</v>
      </c>
    </row>
    <row r="184" spans="1:10" x14ac:dyDescent="0.35">
      <c r="A184" t="s">
        <v>47</v>
      </c>
      <c r="B184" t="s">
        <v>48</v>
      </c>
      <c r="C184" t="s">
        <v>49</v>
      </c>
      <c r="D184">
        <v>2017</v>
      </c>
      <c r="E184">
        <v>100</v>
      </c>
      <c r="F184">
        <v>100</v>
      </c>
      <c r="G184">
        <v>6.3872999999999999E-2</v>
      </c>
      <c r="H184">
        <v>7.14</v>
      </c>
      <c r="I184">
        <v>54</v>
      </c>
      <c r="J184" t="s">
        <v>14</v>
      </c>
    </row>
    <row r="185" spans="1:10" x14ac:dyDescent="0.35">
      <c r="A185" t="s">
        <v>47</v>
      </c>
      <c r="B185" t="s">
        <v>48</v>
      </c>
      <c r="C185" t="s">
        <v>49</v>
      </c>
      <c r="D185">
        <v>2018</v>
      </c>
      <c r="E185">
        <v>100</v>
      </c>
      <c r="F185">
        <v>100</v>
      </c>
      <c r="G185">
        <v>6.3918000000000003E-2</v>
      </c>
      <c r="H185">
        <v>7.23</v>
      </c>
      <c r="I185">
        <v>54</v>
      </c>
      <c r="J185" t="s">
        <v>14</v>
      </c>
    </row>
    <row r="186" spans="1:10" x14ac:dyDescent="0.35">
      <c r="A186" t="s">
        <v>47</v>
      </c>
      <c r="B186" t="s">
        <v>48</v>
      </c>
      <c r="C186" t="s">
        <v>49</v>
      </c>
      <c r="D186">
        <v>2019</v>
      </c>
      <c r="E186">
        <v>100</v>
      </c>
      <c r="F186">
        <v>100</v>
      </c>
      <c r="G186">
        <v>6.3910999999999996E-2</v>
      </c>
      <c r="H186">
        <v>7.42</v>
      </c>
      <c r="I186">
        <v>54</v>
      </c>
      <c r="J186" t="s">
        <v>14</v>
      </c>
    </row>
    <row r="187" spans="1:10" x14ac:dyDescent="0.35">
      <c r="A187" t="s">
        <v>47</v>
      </c>
      <c r="B187" t="s">
        <v>48</v>
      </c>
      <c r="C187" t="s">
        <v>49</v>
      </c>
      <c r="D187">
        <v>2020</v>
      </c>
      <c r="E187">
        <v>100</v>
      </c>
      <c r="F187">
        <v>100</v>
      </c>
      <c r="G187">
        <v>6.3893000000000005E-2</v>
      </c>
      <c r="H187">
        <v>6.89</v>
      </c>
      <c r="I187">
        <v>54</v>
      </c>
      <c r="J187" t="s">
        <v>14</v>
      </c>
    </row>
    <row r="188" spans="1:10" x14ac:dyDescent="0.35">
      <c r="A188" t="s">
        <v>47</v>
      </c>
      <c r="B188" t="s">
        <v>48</v>
      </c>
      <c r="C188" t="s">
        <v>50</v>
      </c>
      <c r="D188">
        <v>2015</v>
      </c>
      <c r="E188">
        <v>99</v>
      </c>
      <c r="F188">
        <v>99</v>
      </c>
      <c r="G188">
        <v>35.702908000000001</v>
      </c>
      <c r="H188">
        <v>1556.51</v>
      </c>
      <c r="I188">
        <v>8965590</v>
      </c>
      <c r="J188">
        <v>6.91</v>
      </c>
    </row>
    <row r="189" spans="1:10" x14ac:dyDescent="0.35">
      <c r="A189" t="s">
        <v>47</v>
      </c>
      <c r="B189" t="s">
        <v>48</v>
      </c>
      <c r="C189" t="s">
        <v>50</v>
      </c>
      <c r="D189">
        <v>2016</v>
      </c>
      <c r="E189">
        <v>99</v>
      </c>
      <c r="F189">
        <v>99</v>
      </c>
      <c r="G189">
        <v>36.109487000000001</v>
      </c>
      <c r="H189">
        <v>1527.99</v>
      </c>
      <c r="I189">
        <v>8965590</v>
      </c>
      <c r="J189">
        <v>7</v>
      </c>
    </row>
    <row r="190" spans="1:10" x14ac:dyDescent="0.35">
      <c r="A190" t="s">
        <v>47</v>
      </c>
      <c r="B190" t="s">
        <v>48</v>
      </c>
      <c r="C190" t="s">
        <v>50</v>
      </c>
      <c r="D190">
        <v>2017</v>
      </c>
      <c r="E190">
        <v>99</v>
      </c>
      <c r="F190">
        <v>99</v>
      </c>
      <c r="G190">
        <v>36.545236000000003</v>
      </c>
      <c r="H190">
        <v>1649.27</v>
      </c>
      <c r="I190">
        <v>8965590</v>
      </c>
      <c r="J190">
        <v>6.34</v>
      </c>
    </row>
    <row r="191" spans="1:10" x14ac:dyDescent="0.35">
      <c r="A191" t="s">
        <v>47</v>
      </c>
      <c r="B191" t="s">
        <v>48</v>
      </c>
      <c r="C191" t="s">
        <v>50</v>
      </c>
      <c r="D191">
        <v>2018</v>
      </c>
      <c r="E191">
        <v>99</v>
      </c>
      <c r="F191">
        <v>99</v>
      </c>
      <c r="G191">
        <v>37.065083999999999</v>
      </c>
      <c r="H191">
        <v>1725.33</v>
      </c>
      <c r="I191">
        <v>8965590</v>
      </c>
      <c r="J191">
        <v>5.83</v>
      </c>
    </row>
    <row r="192" spans="1:10" x14ac:dyDescent="0.35">
      <c r="A192" t="s">
        <v>47</v>
      </c>
      <c r="B192" t="s">
        <v>48</v>
      </c>
      <c r="C192" t="s">
        <v>50</v>
      </c>
      <c r="D192">
        <v>2019</v>
      </c>
      <c r="E192">
        <v>99</v>
      </c>
      <c r="F192">
        <v>99</v>
      </c>
      <c r="G192">
        <v>37.601230000000001</v>
      </c>
      <c r="H192">
        <v>1742.02</v>
      </c>
      <c r="I192">
        <v>8965590</v>
      </c>
      <c r="J192">
        <v>5.66</v>
      </c>
    </row>
    <row r="193" spans="1:10" x14ac:dyDescent="0.35">
      <c r="A193" t="s">
        <v>47</v>
      </c>
      <c r="B193" t="s">
        <v>48</v>
      </c>
      <c r="C193" t="s">
        <v>50</v>
      </c>
      <c r="D193">
        <v>2020</v>
      </c>
      <c r="E193">
        <v>99</v>
      </c>
      <c r="F193">
        <v>99</v>
      </c>
      <c r="G193">
        <v>38.037204000000003</v>
      </c>
      <c r="H193">
        <v>1645.42</v>
      </c>
      <c r="I193">
        <v>8965590</v>
      </c>
      <c r="J193">
        <v>9.4600000000000009</v>
      </c>
    </row>
    <row r="194" spans="1:10" x14ac:dyDescent="0.35">
      <c r="A194" t="s">
        <v>47</v>
      </c>
      <c r="B194" t="s">
        <v>48</v>
      </c>
      <c r="C194" t="s">
        <v>51</v>
      </c>
      <c r="D194">
        <v>2015</v>
      </c>
      <c r="E194">
        <v>100</v>
      </c>
      <c r="F194">
        <v>100</v>
      </c>
      <c r="G194">
        <v>5.6113999999999997E-2</v>
      </c>
      <c r="H194">
        <v>2.5</v>
      </c>
      <c r="I194">
        <v>410450</v>
      </c>
      <c r="J194">
        <v>9.1</v>
      </c>
    </row>
    <row r="195" spans="1:10" x14ac:dyDescent="0.35">
      <c r="A195" t="s">
        <v>47</v>
      </c>
      <c r="B195" t="s">
        <v>48</v>
      </c>
      <c r="C195" t="s">
        <v>51</v>
      </c>
      <c r="D195">
        <v>2016</v>
      </c>
      <c r="E195">
        <v>100</v>
      </c>
      <c r="F195">
        <v>100</v>
      </c>
      <c r="G195">
        <v>5.6186E-2</v>
      </c>
      <c r="H195">
        <v>2.71</v>
      </c>
      <c r="I195">
        <v>410450</v>
      </c>
      <c r="J195" t="s">
        <v>14</v>
      </c>
    </row>
    <row r="196" spans="1:10" x14ac:dyDescent="0.35">
      <c r="A196" t="s">
        <v>47</v>
      </c>
      <c r="B196" t="s">
        <v>48</v>
      </c>
      <c r="C196" t="s">
        <v>51</v>
      </c>
      <c r="D196">
        <v>2017</v>
      </c>
      <c r="E196">
        <v>100</v>
      </c>
      <c r="F196">
        <v>100</v>
      </c>
      <c r="G196">
        <v>5.6170999999999999E-2</v>
      </c>
      <c r="H196">
        <v>2.85</v>
      </c>
      <c r="I196">
        <v>410450</v>
      </c>
      <c r="J196" t="s">
        <v>14</v>
      </c>
    </row>
    <row r="197" spans="1:10" x14ac:dyDescent="0.35">
      <c r="A197" t="s">
        <v>47</v>
      </c>
      <c r="B197" t="s">
        <v>48</v>
      </c>
      <c r="C197" t="s">
        <v>51</v>
      </c>
      <c r="D197">
        <v>2018</v>
      </c>
      <c r="E197">
        <v>100</v>
      </c>
      <c r="F197">
        <v>100</v>
      </c>
      <c r="G197">
        <v>5.6023000000000003E-2</v>
      </c>
      <c r="H197">
        <v>3.06</v>
      </c>
      <c r="I197">
        <v>410450</v>
      </c>
      <c r="J197" t="s">
        <v>14</v>
      </c>
    </row>
    <row r="198" spans="1:10" x14ac:dyDescent="0.35">
      <c r="A198" t="s">
        <v>47</v>
      </c>
      <c r="B198" t="s">
        <v>48</v>
      </c>
      <c r="C198" t="s">
        <v>51</v>
      </c>
      <c r="D198">
        <v>2019</v>
      </c>
      <c r="E198">
        <v>100</v>
      </c>
      <c r="F198">
        <v>100</v>
      </c>
      <c r="G198">
        <v>5.6224999999999997E-2</v>
      </c>
      <c r="H198">
        <v>2.99</v>
      </c>
      <c r="I198">
        <v>410450</v>
      </c>
      <c r="J198" t="s">
        <v>14</v>
      </c>
    </row>
    <row r="199" spans="1:10" x14ac:dyDescent="0.35">
      <c r="A199" t="s">
        <v>47</v>
      </c>
      <c r="B199" t="s">
        <v>48</v>
      </c>
      <c r="C199" t="s">
        <v>51</v>
      </c>
      <c r="D199">
        <v>2020</v>
      </c>
      <c r="E199">
        <v>100</v>
      </c>
      <c r="F199">
        <v>100</v>
      </c>
      <c r="G199">
        <v>5.6367E-2</v>
      </c>
      <c r="H199">
        <v>3.08</v>
      </c>
      <c r="I199">
        <v>410450</v>
      </c>
      <c r="J199" t="s">
        <v>14</v>
      </c>
    </row>
    <row r="200" spans="1:10" x14ac:dyDescent="0.35">
      <c r="A200" t="s">
        <v>47</v>
      </c>
      <c r="B200" t="s">
        <v>48</v>
      </c>
      <c r="C200" t="s">
        <v>52</v>
      </c>
      <c r="D200">
        <v>2015</v>
      </c>
      <c r="E200">
        <v>91</v>
      </c>
      <c r="F200">
        <v>100</v>
      </c>
      <c r="G200" t="s">
        <v>14</v>
      </c>
      <c r="H200" t="s">
        <v>14</v>
      </c>
      <c r="I200" t="s">
        <v>14</v>
      </c>
      <c r="J200" t="s">
        <v>14</v>
      </c>
    </row>
    <row r="201" spans="1:10" x14ac:dyDescent="0.35">
      <c r="A201" t="s">
        <v>47</v>
      </c>
      <c r="B201" t="s">
        <v>48</v>
      </c>
      <c r="C201" t="s">
        <v>52</v>
      </c>
      <c r="D201">
        <v>2016</v>
      </c>
      <c r="E201">
        <v>91</v>
      </c>
      <c r="F201">
        <v>100</v>
      </c>
      <c r="G201" t="s">
        <v>14</v>
      </c>
      <c r="H201" t="s">
        <v>14</v>
      </c>
      <c r="I201" t="s">
        <v>14</v>
      </c>
      <c r="J201" t="s">
        <v>14</v>
      </c>
    </row>
    <row r="202" spans="1:10" x14ac:dyDescent="0.35">
      <c r="A202" t="s">
        <v>47</v>
      </c>
      <c r="B202" t="s">
        <v>48</v>
      </c>
      <c r="C202" t="s">
        <v>52</v>
      </c>
      <c r="D202">
        <v>2017</v>
      </c>
      <c r="E202">
        <v>91</v>
      </c>
      <c r="F202">
        <v>100</v>
      </c>
      <c r="G202" t="s">
        <v>14</v>
      </c>
      <c r="H202" t="s">
        <v>14</v>
      </c>
      <c r="I202" t="s">
        <v>14</v>
      </c>
      <c r="J202" t="s">
        <v>14</v>
      </c>
    </row>
    <row r="203" spans="1:10" x14ac:dyDescent="0.35">
      <c r="A203" t="s">
        <v>47</v>
      </c>
      <c r="B203" t="s">
        <v>48</v>
      </c>
      <c r="C203" t="s">
        <v>52</v>
      </c>
      <c r="D203">
        <v>2018</v>
      </c>
      <c r="E203">
        <v>91</v>
      </c>
      <c r="F203">
        <v>100</v>
      </c>
      <c r="G203" t="s">
        <v>14</v>
      </c>
      <c r="H203" t="s">
        <v>14</v>
      </c>
      <c r="I203" t="s">
        <v>14</v>
      </c>
      <c r="J203" t="s">
        <v>14</v>
      </c>
    </row>
    <row r="204" spans="1:10" x14ac:dyDescent="0.35">
      <c r="A204" t="s">
        <v>47</v>
      </c>
      <c r="B204" t="s">
        <v>48</v>
      </c>
      <c r="C204" t="s">
        <v>52</v>
      </c>
      <c r="D204">
        <v>2019</v>
      </c>
      <c r="E204">
        <v>91</v>
      </c>
      <c r="F204">
        <v>100</v>
      </c>
      <c r="G204" t="s">
        <v>14</v>
      </c>
      <c r="H204" t="s">
        <v>14</v>
      </c>
      <c r="I204" t="s">
        <v>14</v>
      </c>
      <c r="J204" t="s">
        <v>14</v>
      </c>
    </row>
    <row r="205" spans="1:10" x14ac:dyDescent="0.35">
      <c r="A205" t="s">
        <v>47</v>
      </c>
      <c r="B205" t="s">
        <v>48</v>
      </c>
      <c r="C205" t="s">
        <v>52</v>
      </c>
      <c r="D205">
        <v>2020</v>
      </c>
      <c r="E205">
        <v>91</v>
      </c>
      <c r="F205">
        <v>100</v>
      </c>
      <c r="G205" t="s">
        <v>14</v>
      </c>
      <c r="H205" t="s">
        <v>14</v>
      </c>
      <c r="I205" t="s">
        <v>14</v>
      </c>
      <c r="J205" t="s">
        <v>14</v>
      </c>
    </row>
    <row r="206" spans="1:10" x14ac:dyDescent="0.35">
      <c r="A206" t="s">
        <v>47</v>
      </c>
      <c r="B206" t="s">
        <v>48</v>
      </c>
      <c r="C206" t="s">
        <v>53</v>
      </c>
      <c r="D206">
        <v>2015</v>
      </c>
      <c r="E206">
        <v>99</v>
      </c>
      <c r="F206">
        <v>99.67</v>
      </c>
      <c r="G206" t="s">
        <v>14</v>
      </c>
      <c r="H206" t="s">
        <v>14</v>
      </c>
      <c r="I206" t="s">
        <v>14</v>
      </c>
      <c r="J206" t="s">
        <v>14</v>
      </c>
    </row>
    <row r="207" spans="1:10" x14ac:dyDescent="0.35">
      <c r="A207" t="s">
        <v>47</v>
      </c>
      <c r="B207" t="s">
        <v>48</v>
      </c>
      <c r="C207" t="s">
        <v>53</v>
      </c>
      <c r="D207">
        <v>2016</v>
      </c>
      <c r="E207">
        <v>99.33</v>
      </c>
      <c r="F207">
        <v>99.67</v>
      </c>
      <c r="G207" t="s">
        <v>14</v>
      </c>
      <c r="H207" t="s">
        <v>14</v>
      </c>
      <c r="I207" t="s">
        <v>14</v>
      </c>
      <c r="J207" t="s">
        <v>14</v>
      </c>
    </row>
    <row r="208" spans="1:10" x14ac:dyDescent="0.35">
      <c r="A208" t="s">
        <v>47</v>
      </c>
      <c r="B208" t="s">
        <v>48</v>
      </c>
      <c r="C208" t="s">
        <v>53</v>
      </c>
      <c r="D208">
        <v>2017</v>
      </c>
      <c r="E208">
        <v>99.67</v>
      </c>
      <c r="F208">
        <v>99.67</v>
      </c>
      <c r="G208" t="s">
        <v>14</v>
      </c>
      <c r="H208" t="s">
        <v>14</v>
      </c>
      <c r="I208" t="s">
        <v>14</v>
      </c>
      <c r="J208" t="s">
        <v>14</v>
      </c>
    </row>
    <row r="209" spans="1:10" x14ac:dyDescent="0.35">
      <c r="A209" t="s">
        <v>47</v>
      </c>
      <c r="B209" t="s">
        <v>48</v>
      </c>
      <c r="C209" t="s">
        <v>53</v>
      </c>
      <c r="D209">
        <v>2018</v>
      </c>
      <c r="E209">
        <v>99.67</v>
      </c>
      <c r="F209">
        <v>99.67</v>
      </c>
      <c r="G209" t="s">
        <v>14</v>
      </c>
      <c r="H209" t="s">
        <v>14</v>
      </c>
      <c r="I209" t="s">
        <v>14</v>
      </c>
      <c r="J209" t="s">
        <v>14</v>
      </c>
    </row>
    <row r="210" spans="1:10" x14ac:dyDescent="0.35">
      <c r="A210" t="s">
        <v>47</v>
      </c>
      <c r="B210" t="s">
        <v>48</v>
      </c>
      <c r="C210" t="s">
        <v>53</v>
      </c>
      <c r="D210">
        <v>2019</v>
      </c>
      <c r="E210">
        <v>99.67</v>
      </c>
      <c r="F210">
        <v>99.67</v>
      </c>
      <c r="G210" t="s">
        <v>14</v>
      </c>
      <c r="H210" t="s">
        <v>14</v>
      </c>
      <c r="I210" t="s">
        <v>14</v>
      </c>
      <c r="J210" t="s">
        <v>14</v>
      </c>
    </row>
    <row r="211" spans="1:10" x14ac:dyDescent="0.35">
      <c r="A211" t="s">
        <v>47</v>
      </c>
      <c r="B211" t="s">
        <v>48</v>
      </c>
      <c r="C211" t="s">
        <v>53</v>
      </c>
      <c r="D211">
        <v>2020</v>
      </c>
      <c r="E211">
        <v>100</v>
      </c>
      <c r="F211">
        <v>99.67</v>
      </c>
      <c r="G211" t="s">
        <v>14</v>
      </c>
      <c r="H211" t="s">
        <v>14</v>
      </c>
      <c r="I211" t="s">
        <v>14</v>
      </c>
      <c r="J211" t="s">
        <v>14</v>
      </c>
    </row>
    <row r="212" spans="1:10" x14ac:dyDescent="0.35">
      <c r="A212" t="s">
        <v>54</v>
      </c>
      <c r="B212" t="s">
        <v>55</v>
      </c>
      <c r="C212" t="s">
        <v>56</v>
      </c>
      <c r="D212">
        <v>2015</v>
      </c>
      <c r="E212">
        <v>97</v>
      </c>
      <c r="F212">
        <v>97</v>
      </c>
      <c r="G212" t="s">
        <v>14</v>
      </c>
      <c r="H212" t="s">
        <v>14</v>
      </c>
      <c r="I212" t="s">
        <v>14</v>
      </c>
      <c r="J212" t="s">
        <v>14</v>
      </c>
    </row>
    <row r="213" spans="1:10" x14ac:dyDescent="0.35">
      <c r="A213" t="s">
        <v>54</v>
      </c>
      <c r="B213" t="s">
        <v>55</v>
      </c>
      <c r="C213" t="s">
        <v>56</v>
      </c>
      <c r="D213">
        <v>2016</v>
      </c>
      <c r="E213">
        <v>97</v>
      </c>
      <c r="F213">
        <v>97</v>
      </c>
      <c r="G213" t="s">
        <v>14</v>
      </c>
      <c r="H213" t="s">
        <v>14</v>
      </c>
      <c r="I213" t="s">
        <v>14</v>
      </c>
      <c r="J213" t="s">
        <v>14</v>
      </c>
    </row>
    <row r="214" spans="1:10" x14ac:dyDescent="0.35">
      <c r="A214" t="s">
        <v>54</v>
      </c>
      <c r="B214" t="s">
        <v>55</v>
      </c>
      <c r="C214" t="s">
        <v>56</v>
      </c>
      <c r="D214">
        <v>2017</v>
      </c>
      <c r="E214">
        <v>97</v>
      </c>
      <c r="F214">
        <v>97</v>
      </c>
      <c r="G214" t="s">
        <v>14</v>
      </c>
      <c r="H214" t="s">
        <v>14</v>
      </c>
      <c r="I214" t="s">
        <v>14</v>
      </c>
      <c r="J214" t="s">
        <v>14</v>
      </c>
    </row>
    <row r="215" spans="1:10" x14ac:dyDescent="0.35">
      <c r="A215" t="s">
        <v>54</v>
      </c>
      <c r="B215" t="s">
        <v>55</v>
      </c>
      <c r="C215" t="s">
        <v>57</v>
      </c>
      <c r="D215">
        <v>2015</v>
      </c>
      <c r="E215">
        <v>97</v>
      </c>
      <c r="F215">
        <v>88</v>
      </c>
      <c r="G215">
        <v>8.9940999999999993E-2</v>
      </c>
      <c r="H215">
        <v>1.34</v>
      </c>
      <c r="I215">
        <v>440</v>
      </c>
      <c r="J215" t="s">
        <v>14</v>
      </c>
    </row>
    <row r="216" spans="1:10" x14ac:dyDescent="0.35">
      <c r="A216" t="s">
        <v>54</v>
      </c>
      <c r="B216" t="s">
        <v>55</v>
      </c>
      <c r="C216" t="s">
        <v>57</v>
      </c>
      <c r="D216">
        <v>2016</v>
      </c>
      <c r="E216">
        <v>97</v>
      </c>
      <c r="F216">
        <v>88</v>
      </c>
      <c r="G216">
        <v>9.0564000000000006E-2</v>
      </c>
      <c r="H216">
        <v>1.44</v>
      </c>
      <c r="I216">
        <v>440</v>
      </c>
      <c r="J216" t="s">
        <v>14</v>
      </c>
    </row>
    <row r="217" spans="1:10" x14ac:dyDescent="0.35">
      <c r="A217" t="s">
        <v>54</v>
      </c>
      <c r="B217" t="s">
        <v>55</v>
      </c>
      <c r="C217" t="s">
        <v>57</v>
      </c>
      <c r="D217">
        <v>2017</v>
      </c>
      <c r="E217">
        <v>97</v>
      </c>
      <c r="F217">
        <v>88</v>
      </c>
      <c r="G217">
        <v>9.1119000000000006E-2</v>
      </c>
      <c r="H217">
        <v>1.47</v>
      </c>
      <c r="I217">
        <v>440</v>
      </c>
      <c r="J217" t="s">
        <v>14</v>
      </c>
    </row>
    <row r="218" spans="1:10" x14ac:dyDescent="0.35">
      <c r="A218" t="s">
        <v>54</v>
      </c>
      <c r="B218" t="s">
        <v>55</v>
      </c>
      <c r="C218" t="s">
        <v>58</v>
      </c>
      <c r="D218">
        <v>2015</v>
      </c>
      <c r="E218">
        <v>98</v>
      </c>
      <c r="F218">
        <v>98</v>
      </c>
      <c r="G218">
        <v>0.104257</v>
      </c>
      <c r="H218">
        <v>2.96</v>
      </c>
      <c r="I218">
        <v>180</v>
      </c>
      <c r="J218" t="s">
        <v>14</v>
      </c>
    </row>
    <row r="219" spans="1:10" x14ac:dyDescent="0.35">
      <c r="A219" t="s">
        <v>54</v>
      </c>
      <c r="B219" t="s">
        <v>55</v>
      </c>
      <c r="C219" t="s">
        <v>58</v>
      </c>
      <c r="D219">
        <v>2016</v>
      </c>
      <c r="E219">
        <v>98</v>
      </c>
      <c r="F219">
        <v>98</v>
      </c>
      <c r="G219">
        <v>0.104874</v>
      </c>
      <c r="H219">
        <v>2.98</v>
      </c>
      <c r="I219">
        <v>180</v>
      </c>
      <c r="J219" t="s">
        <v>14</v>
      </c>
    </row>
    <row r="220" spans="1:10" x14ac:dyDescent="0.35">
      <c r="A220" t="s">
        <v>54</v>
      </c>
      <c r="B220" t="s">
        <v>55</v>
      </c>
      <c r="C220" t="s">
        <v>59</v>
      </c>
      <c r="D220">
        <v>2015</v>
      </c>
      <c r="E220">
        <v>99</v>
      </c>
      <c r="F220">
        <v>95</v>
      </c>
      <c r="G220" t="s">
        <v>14</v>
      </c>
      <c r="H220" t="s">
        <v>14</v>
      </c>
      <c r="I220" t="s">
        <v>14</v>
      </c>
      <c r="J220" t="s">
        <v>14</v>
      </c>
    </row>
    <row r="221" spans="1:10" x14ac:dyDescent="0.35">
      <c r="A221" t="s">
        <v>54</v>
      </c>
      <c r="B221" t="s">
        <v>55</v>
      </c>
      <c r="C221" t="s">
        <v>59</v>
      </c>
      <c r="D221">
        <v>2016</v>
      </c>
      <c r="E221">
        <v>99</v>
      </c>
      <c r="F221">
        <v>95</v>
      </c>
      <c r="G221" t="s">
        <v>14</v>
      </c>
      <c r="H221" t="s">
        <v>14</v>
      </c>
      <c r="I221" t="s">
        <v>14</v>
      </c>
      <c r="J221" t="s">
        <v>14</v>
      </c>
    </row>
    <row r="222" spans="1:10" x14ac:dyDescent="0.35">
      <c r="A222" t="s">
        <v>54</v>
      </c>
      <c r="B222" t="s">
        <v>55</v>
      </c>
      <c r="C222" t="s">
        <v>59</v>
      </c>
      <c r="D222">
        <v>2017</v>
      </c>
      <c r="E222">
        <v>99</v>
      </c>
      <c r="F222">
        <v>95</v>
      </c>
      <c r="G222" t="s">
        <v>14</v>
      </c>
      <c r="H222" t="s">
        <v>14</v>
      </c>
      <c r="I222" t="s">
        <v>14</v>
      </c>
      <c r="J222" t="s">
        <v>14</v>
      </c>
    </row>
    <row r="223" spans="1:10" x14ac:dyDescent="0.35">
      <c r="A223" t="s">
        <v>54</v>
      </c>
      <c r="B223" t="s">
        <v>55</v>
      </c>
      <c r="C223" t="s">
        <v>59</v>
      </c>
      <c r="D223">
        <v>2018</v>
      </c>
      <c r="E223">
        <v>99</v>
      </c>
      <c r="F223">
        <v>95</v>
      </c>
      <c r="G223" t="s">
        <v>14</v>
      </c>
      <c r="H223" t="s">
        <v>14</v>
      </c>
      <c r="I223" t="s">
        <v>14</v>
      </c>
      <c r="J223" t="s">
        <v>14</v>
      </c>
    </row>
    <row r="224" spans="1:10" x14ac:dyDescent="0.35">
      <c r="A224" t="s">
        <v>54</v>
      </c>
      <c r="B224" t="s">
        <v>55</v>
      </c>
      <c r="C224" t="s">
        <v>59</v>
      </c>
      <c r="D224">
        <v>2019</v>
      </c>
      <c r="E224">
        <v>99</v>
      </c>
      <c r="F224">
        <v>95</v>
      </c>
      <c r="G224" t="s">
        <v>14</v>
      </c>
      <c r="H224" t="s">
        <v>14</v>
      </c>
      <c r="I224" t="s">
        <v>14</v>
      </c>
      <c r="J224" t="s">
        <v>14</v>
      </c>
    </row>
    <row r="225" spans="1:10" x14ac:dyDescent="0.35">
      <c r="A225" t="s">
        <v>54</v>
      </c>
      <c r="B225" t="s">
        <v>55</v>
      </c>
      <c r="C225" t="s">
        <v>60</v>
      </c>
      <c r="D225">
        <v>2015</v>
      </c>
      <c r="E225">
        <v>98</v>
      </c>
      <c r="F225">
        <v>96</v>
      </c>
      <c r="G225">
        <v>0.27808300000000002</v>
      </c>
      <c r="H225">
        <v>4.72</v>
      </c>
      <c r="I225">
        <v>430</v>
      </c>
      <c r="J225">
        <v>9.8000000000000007</v>
      </c>
    </row>
    <row r="226" spans="1:10" x14ac:dyDescent="0.35">
      <c r="A226" t="s">
        <v>54</v>
      </c>
      <c r="B226" t="s">
        <v>55</v>
      </c>
      <c r="C226" t="s">
        <v>60</v>
      </c>
      <c r="D226">
        <v>2016</v>
      </c>
      <c r="E226">
        <v>98</v>
      </c>
      <c r="F226">
        <v>97</v>
      </c>
      <c r="G226">
        <v>0.27864899999999998</v>
      </c>
      <c r="H226">
        <v>4.83</v>
      </c>
      <c r="I226">
        <v>430</v>
      </c>
      <c r="J226">
        <v>8.25</v>
      </c>
    </row>
    <row r="227" spans="1:10" x14ac:dyDescent="0.35">
      <c r="A227" t="s">
        <v>54</v>
      </c>
      <c r="B227" t="s">
        <v>55</v>
      </c>
      <c r="C227" t="s">
        <v>60</v>
      </c>
      <c r="D227">
        <v>2017</v>
      </c>
      <c r="E227">
        <v>98</v>
      </c>
      <c r="F227">
        <v>97</v>
      </c>
      <c r="G227">
        <v>0.27918700000000002</v>
      </c>
      <c r="H227">
        <v>4.9800000000000004</v>
      </c>
      <c r="I227">
        <v>430</v>
      </c>
      <c r="J227">
        <v>8.6199999999999992</v>
      </c>
    </row>
    <row r="228" spans="1:10" x14ac:dyDescent="0.35">
      <c r="A228" t="s">
        <v>54</v>
      </c>
      <c r="B228" t="s">
        <v>55</v>
      </c>
      <c r="C228" t="s">
        <v>60</v>
      </c>
      <c r="D228">
        <v>2018</v>
      </c>
      <c r="E228">
        <v>99</v>
      </c>
      <c r="F228">
        <v>97</v>
      </c>
      <c r="G228">
        <v>0.27968799999999999</v>
      </c>
      <c r="H228">
        <v>5.0999999999999996</v>
      </c>
      <c r="I228">
        <v>430</v>
      </c>
      <c r="J228">
        <v>8.32</v>
      </c>
    </row>
    <row r="229" spans="1:10" x14ac:dyDescent="0.35">
      <c r="A229" t="s">
        <v>54</v>
      </c>
      <c r="B229" t="s">
        <v>55</v>
      </c>
      <c r="C229" t="s">
        <v>60</v>
      </c>
      <c r="D229">
        <v>2019</v>
      </c>
      <c r="E229">
        <v>99</v>
      </c>
      <c r="F229">
        <v>98</v>
      </c>
      <c r="G229">
        <v>0.28017999999999998</v>
      </c>
      <c r="H229">
        <v>5.32</v>
      </c>
      <c r="I229">
        <v>430</v>
      </c>
      <c r="J229">
        <v>8.41</v>
      </c>
    </row>
    <row r="230" spans="1:10" x14ac:dyDescent="0.35">
      <c r="A230" t="s">
        <v>54</v>
      </c>
      <c r="B230" t="s">
        <v>55</v>
      </c>
      <c r="C230" t="s">
        <v>60</v>
      </c>
      <c r="D230">
        <v>2020</v>
      </c>
      <c r="E230">
        <v>99</v>
      </c>
      <c r="F230">
        <v>98</v>
      </c>
      <c r="G230">
        <v>0.28069300000000003</v>
      </c>
      <c r="H230">
        <v>4.67</v>
      </c>
      <c r="I230">
        <v>430</v>
      </c>
      <c r="J230" t="s">
        <v>14</v>
      </c>
    </row>
    <row r="231" spans="1:10" x14ac:dyDescent="0.35">
      <c r="A231" t="s">
        <v>54</v>
      </c>
      <c r="B231" t="s">
        <v>55</v>
      </c>
      <c r="C231" t="s">
        <v>61</v>
      </c>
      <c r="D231">
        <v>2015</v>
      </c>
      <c r="E231">
        <v>100</v>
      </c>
      <c r="F231">
        <v>97</v>
      </c>
      <c r="G231">
        <v>2.9366E-2</v>
      </c>
      <c r="H231" t="s">
        <v>14</v>
      </c>
      <c r="I231">
        <v>150</v>
      </c>
      <c r="J231" t="s">
        <v>14</v>
      </c>
    </row>
    <row r="232" spans="1:10" x14ac:dyDescent="0.35">
      <c r="A232" t="s">
        <v>54</v>
      </c>
      <c r="B232" t="s">
        <v>55</v>
      </c>
      <c r="C232" t="s">
        <v>61</v>
      </c>
      <c r="D232">
        <v>2016</v>
      </c>
      <c r="E232">
        <v>100</v>
      </c>
      <c r="F232">
        <v>97</v>
      </c>
      <c r="G232">
        <v>2.9739000000000002E-2</v>
      </c>
      <c r="H232" t="s">
        <v>14</v>
      </c>
      <c r="I232">
        <v>150</v>
      </c>
      <c r="J232" t="s">
        <v>14</v>
      </c>
    </row>
    <row r="233" spans="1:10" x14ac:dyDescent="0.35">
      <c r="A233" t="s">
        <v>54</v>
      </c>
      <c r="B233" t="s">
        <v>55</v>
      </c>
      <c r="C233" t="s">
        <v>61</v>
      </c>
      <c r="D233">
        <v>2017</v>
      </c>
      <c r="E233">
        <v>100</v>
      </c>
      <c r="F233" t="s">
        <v>14</v>
      </c>
      <c r="G233">
        <v>3.006E-2</v>
      </c>
      <c r="H233" t="s">
        <v>14</v>
      </c>
      <c r="I233">
        <v>150</v>
      </c>
      <c r="J233" t="s">
        <v>14</v>
      </c>
    </row>
    <row r="234" spans="1:10" x14ac:dyDescent="0.35">
      <c r="A234" t="s">
        <v>54</v>
      </c>
      <c r="B234" t="s">
        <v>55</v>
      </c>
      <c r="C234" t="s">
        <v>61</v>
      </c>
      <c r="D234">
        <v>2018</v>
      </c>
      <c r="E234">
        <v>100</v>
      </c>
      <c r="F234" t="s">
        <v>14</v>
      </c>
      <c r="G234">
        <v>3.0335000000000001E-2</v>
      </c>
      <c r="H234" t="s">
        <v>14</v>
      </c>
      <c r="I234">
        <v>150</v>
      </c>
      <c r="J234" t="s">
        <v>14</v>
      </c>
    </row>
    <row r="235" spans="1:10" x14ac:dyDescent="0.35">
      <c r="A235" t="s">
        <v>54</v>
      </c>
      <c r="B235" t="s">
        <v>55</v>
      </c>
      <c r="C235" t="s">
        <v>61</v>
      </c>
      <c r="D235">
        <v>2019</v>
      </c>
      <c r="E235">
        <v>100</v>
      </c>
      <c r="F235" t="s">
        <v>14</v>
      </c>
      <c r="G235">
        <v>3.0609999999999998E-2</v>
      </c>
      <c r="H235" t="s">
        <v>14</v>
      </c>
      <c r="I235">
        <v>150</v>
      </c>
      <c r="J235" t="s">
        <v>14</v>
      </c>
    </row>
    <row r="236" spans="1:10" x14ac:dyDescent="0.35">
      <c r="A236" t="s">
        <v>54</v>
      </c>
      <c r="B236" t="s">
        <v>55</v>
      </c>
      <c r="C236" t="s">
        <v>61</v>
      </c>
      <c r="D236">
        <v>2020</v>
      </c>
      <c r="E236">
        <v>100</v>
      </c>
      <c r="F236" t="s">
        <v>14</v>
      </c>
      <c r="G236">
        <v>3.091E-2</v>
      </c>
      <c r="H236" t="s">
        <v>14</v>
      </c>
      <c r="I236">
        <v>150</v>
      </c>
      <c r="J236" t="s">
        <v>14</v>
      </c>
    </row>
    <row r="237" spans="1:10" x14ac:dyDescent="0.35">
      <c r="A237" t="s">
        <v>54</v>
      </c>
      <c r="B237" t="s">
        <v>55</v>
      </c>
      <c r="C237" t="s">
        <v>62</v>
      </c>
      <c r="D237">
        <v>2015</v>
      </c>
      <c r="E237">
        <v>96</v>
      </c>
      <c r="F237">
        <v>84</v>
      </c>
      <c r="G237">
        <v>6.0911E-2</v>
      </c>
      <c r="H237">
        <v>4.71</v>
      </c>
      <c r="I237">
        <v>240</v>
      </c>
      <c r="J237">
        <v>4.24</v>
      </c>
    </row>
    <row r="238" spans="1:10" x14ac:dyDescent="0.35">
      <c r="A238" t="s">
        <v>54</v>
      </c>
      <c r="B238" t="s">
        <v>55</v>
      </c>
      <c r="C238" t="s">
        <v>62</v>
      </c>
      <c r="D238">
        <v>2016</v>
      </c>
      <c r="E238">
        <v>96</v>
      </c>
      <c r="F238">
        <v>84</v>
      </c>
      <c r="G238">
        <v>6.2254999999999998E-2</v>
      </c>
      <c r="H238">
        <v>4.91</v>
      </c>
      <c r="I238">
        <v>240</v>
      </c>
      <c r="J238" t="s">
        <v>14</v>
      </c>
    </row>
    <row r="239" spans="1:10" x14ac:dyDescent="0.35">
      <c r="A239" t="s">
        <v>54</v>
      </c>
      <c r="B239" t="s">
        <v>55</v>
      </c>
      <c r="C239" t="s">
        <v>63</v>
      </c>
      <c r="D239">
        <v>2015</v>
      </c>
      <c r="E239">
        <v>94.67</v>
      </c>
      <c r="F239">
        <v>88.67</v>
      </c>
      <c r="G239">
        <v>11.339893999999999</v>
      </c>
      <c r="H239">
        <v>87.13</v>
      </c>
      <c r="I239">
        <v>104100</v>
      </c>
      <c r="J239">
        <v>2.4</v>
      </c>
    </row>
    <row r="240" spans="1:10" x14ac:dyDescent="0.35">
      <c r="A240" t="s">
        <v>54</v>
      </c>
      <c r="B240" t="s">
        <v>55</v>
      </c>
      <c r="C240" t="s">
        <v>63</v>
      </c>
      <c r="D240">
        <v>2016</v>
      </c>
      <c r="E240">
        <v>95</v>
      </c>
      <c r="F240">
        <v>89</v>
      </c>
      <c r="G240">
        <v>11.342012</v>
      </c>
      <c r="H240">
        <v>91.37</v>
      </c>
      <c r="I240">
        <v>104040</v>
      </c>
      <c r="J240">
        <v>2</v>
      </c>
    </row>
    <row r="241" spans="1:10" x14ac:dyDescent="0.35">
      <c r="A241" t="s">
        <v>54</v>
      </c>
      <c r="B241" t="s">
        <v>55</v>
      </c>
      <c r="C241" t="s">
        <v>63</v>
      </c>
      <c r="D241">
        <v>2017</v>
      </c>
      <c r="E241">
        <v>95.33</v>
      </c>
      <c r="F241">
        <v>89.33</v>
      </c>
      <c r="G241">
        <v>11.336404999999999</v>
      </c>
      <c r="H241">
        <v>96.85</v>
      </c>
      <c r="I241">
        <v>103800</v>
      </c>
      <c r="J241">
        <v>1.7</v>
      </c>
    </row>
    <row r="242" spans="1:10" x14ac:dyDescent="0.35">
      <c r="A242" t="s">
        <v>54</v>
      </c>
      <c r="B242" t="s">
        <v>55</v>
      </c>
      <c r="C242" t="s">
        <v>63</v>
      </c>
      <c r="D242">
        <v>2018</v>
      </c>
      <c r="E242">
        <v>96</v>
      </c>
      <c r="F242">
        <v>89.67</v>
      </c>
      <c r="G242">
        <v>11.328244</v>
      </c>
      <c r="H242">
        <v>100.05</v>
      </c>
      <c r="I242">
        <v>103800</v>
      </c>
      <c r="J242">
        <v>1.7</v>
      </c>
    </row>
    <row r="243" spans="1:10" x14ac:dyDescent="0.35">
      <c r="A243" t="s">
        <v>54</v>
      </c>
      <c r="B243" t="s">
        <v>55</v>
      </c>
      <c r="C243" t="s">
        <v>63</v>
      </c>
      <c r="D243">
        <v>2019</v>
      </c>
      <c r="E243">
        <v>96.33</v>
      </c>
      <c r="F243">
        <v>90</v>
      </c>
      <c r="G243">
        <v>11.316697</v>
      </c>
      <c r="H243">
        <v>103.43</v>
      </c>
      <c r="I243">
        <v>103800</v>
      </c>
      <c r="J243" t="s">
        <v>14</v>
      </c>
    </row>
    <row r="244" spans="1:10" x14ac:dyDescent="0.35">
      <c r="A244" t="s">
        <v>54</v>
      </c>
      <c r="B244" t="s">
        <v>55</v>
      </c>
      <c r="C244" t="s">
        <v>63</v>
      </c>
      <c r="D244">
        <v>2020</v>
      </c>
      <c r="E244">
        <v>96.33</v>
      </c>
      <c r="F244">
        <v>90</v>
      </c>
      <c r="G244">
        <v>11.300698000000001</v>
      </c>
      <c r="H244">
        <v>107.35</v>
      </c>
      <c r="I244">
        <v>103800</v>
      </c>
      <c r="J244" t="s">
        <v>14</v>
      </c>
    </row>
    <row r="245" spans="1:10" x14ac:dyDescent="0.35">
      <c r="A245" t="s">
        <v>54</v>
      </c>
      <c r="B245" t="s">
        <v>55</v>
      </c>
      <c r="C245" t="s">
        <v>64</v>
      </c>
      <c r="D245">
        <v>2015</v>
      </c>
      <c r="E245">
        <v>99</v>
      </c>
      <c r="F245">
        <v>99</v>
      </c>
      <c r="G245" t="s">
        <v>14</v>
      </c>
      <c r="H245" t="s">
        <v>14</v>
      </c>
      <c r="I245" t="s">
        <v>14</v>
      </c>
      <c r="J245" t="s">
        <v>14</v>
      </c>
    </row>
    <row r="246" spans="1:10" x14ac:dyDescent="0.35">
      <c r="A246" t="s">
        <v>54</v>
      </c>
      <c r="B246" t="s">
        <v>55</v>
      </c>
      <c r="C246" t="s">
        <v>64</v>
      </c>
      <c r="D246">
        <v>2016</v>
      </c>
      <c r="E246">
        <v>99</v>
      </c>
      <c r="F246">
        <v>99</v>
      </c>
      <c r="G246" t="s">
        <v>14</v>
      </c>
      <c r="H246" t="s">
        <v>14</v>
      </c>
      <c r="I246" t="s">
        <v>14</v>
      </c>
      <c r="J246" t="s">
        <v>14</v>
      </c>
    </row>
    <row r="247" spans="1:10" x14ac:dyDescent="0.35">
      <c r="A247" t="s">
        <v>54</v>
      </c>
      <c r="B247" t="s">
        <v>55</v>
      </c>
      <c r="C247" t="s">
        <v>64</v>
      </c>
      <c r="D247">
        <v>2017</v>
      </c>
      <c r="E247">
        <v>99</v>
      </c>
      <c r="F247">
        <v>99</v>
      </c>
      <c r="G247" t="s">
        <v>14</v>
      </c>
      <c r="H247" t="s">
        <v>14</v>
      </c>
      <c r="I247" t="s">
        <v>14</v>
      </c>
      <c r="J247" t="s">
        <v>14</v>
      </c>
    </row>
    <row r="248" spans="1:10" x14ac:dyDescent="0.35">
      <c r="A248" t="s">
        <v>54</v>
      </c>
      <c r="B248" t="s">
        <v>55</v>
      </c>
      <c r="C248" t="s">
        <v>65</v>
      </c>
      <c r="D248">
        <v>2015</v>
      </c>
      <c r="E248">
        <v>95</v>
      </c>
      <c r="F248">
        <v>80</v>
      </c>
      <c r="G248">
        <v>7.0007E-2</v>
      </c>
      <c r="H248">
        <v>0.54</v>
      </c>
      <c r="I248">
        <v>750</v>
      </c>
      <c r="J248" t="s">
        <v>14</v>
      </c>
    </row>
    <row r="249" spans="1:10" x14ac:dyDescent="0.35">
      <c r="A249" t="s">
        <v>54</v>
      </c>
      <c r="B249" t="s">
        <v>55</v>
      </c>
      <c r="C249" t="s">
        <v>65</v>
      </c>
      <c r="D249">
        <v>2016</v>
      </c>
      <c r="E249">
        <v>95</v>
      </c>
      <c r="F249">
        <v>80</v>
      </c>
      <c r="G249">
        <v>7.0074999999999998E-2</v>
      </c>
      <c r="H249">
        <v>0.57999999999999996</v>
      </c>
      <c r="I249">
        <v>750</v>
      </c>
      <c r="J249" t="s">
        <v>14</v>
      </c>
    </row>
    <row r="250" spans="1:10" x14ac:dyDescent="0.35">
      <c r="A250" t="s">
        <v>54</v>
      </c>
      <c r="B250" t="s">
        <v>55</v>
      </c>
      <c r="C250" t="s">
        <v>65</v>
      </c>
      <c r="D250">
        <v>2017</v>
      </c>
      <c r="E250">
        <v>95</v>
      </c>
      <c r="F250">
        <v>80</v>
      </c>
      <c r="G250">
        <v>7.0402999999999993E-2</v>
      </c>
      <c r="H250">
        <v>0.52</v>
      </c>
      <c r="I250">
        <v>750</v>
      </c>
      <c r="J250" t="s">
        <v>14</v>
      </c>
    </row>
    <row r="251" spans="1:10" x14ac:dyDescent="0.35">
      <c r="A251" t="s">
        <v>54</v>
      </c>
      <c r="B251" t="s">
        <v>55</v>
      </c>
      <c r="C251" t="s">
        <v>66</v>
      </c>
      <c r="D251">
        <v>2015</v>
      </c>
      <c r="E251">
        <v>94.33</v>
      </c>
      <c r="F251">
        <v>82.33</v>
      </c>
      <c r="G251">
        <v>10.405832</v>
      </c>
      <c r="H251">
        <v>71.16</v>
      </c>
      <c r="I251">
        <v>48310</v>
      </c>
      <c r="J251">
        <v>7.61</v>
      </c>
    </row>
    <row r="252" spans="1:10" x14ac:dyDescent="0.35">
      <c r="A252" t="s">
        <v>54</v>
      </c>
      <c r="B252" t="s">
        <v>55</v>
      </c>
      <c r="C252" t="s">
        <v>66</v>
      </c>
      <c r="D252">
        <v>2016</v>
      </c>
      <c r="E252">
        <v>94.67</v>
      </c>
      <c r="F252">
        <v>83</v>
      </c>
      <c r="G252">
        <v>10.527592</v>
      </c>
      <c r="H252">
        <v>75.7</v>
      </c>
      <c r="I252">
        <v>48310</v>
      </c>
      <c r="J252">
        <v>7.28</v>
      </c>
    </row>
    <row r="253" spans="1:10" x14ac:dyDescent="0.35">
      <c r="A253" t="s">
        <v>54</v>
      </c>
      <c r="B253" t="s">
        <v>55</v>
      </c>
      <c r="C253" t="s">
        <v>66</v>
      </c>
      <c r="D253">
        <v>2017</v>
      </c>
      <c r="E253">
        <v>94.67</v>
      </c>
      <c r="F253">
        <v>83.33</v>
      </c>
      <c r="G253">
        <v>10.647244000000001</v>
      </c>
      <c r="H253">
        <v>80</v>
      </c>
      <c r="I253">
        <v>48310</v>
      </c>
      <c r="J253">
        <v>5.83</v>
      </c>
    </row>
    <row r="254" spans="1:10" x14ac:dyDescent="0.35">
      <c r="A254" t="s">
        <v>54</v>
      </c>
      <c r="B254" t="s">
        <v>55</v>
      </c>
      <c r="C254" t="s">
        <v>66</v>
      </c>
      <c r="D254">
        <v>2018</v>
      </c>
      <c r="E254">
        <v>95</v>
      </c>
      <c r="F254">
        <v>83.67</v>
      </c>
      <c r="G254">
        <v>10.765530999999999</v>
      </c>
      <c r="H254">
        <v>85.56</v>
      </c>
      <c r="I254">
        <v>48310</v>
      </c>
      <c r="J254">
        <v>5.86</v>
      </c>
    </row>
    <row r="255" spans="1:10" x14ac:dyDescent="0.35">
      <c r="A255" t="s">
        <v>54</v>
      </c>
      <c r="B255" t="s">
        <v>55</v>
      </c>
      <c r="C255" t="s">
        <v>66</v>
      </c>
      <c r="D255">
        <v>2019</v>
      </c>
      <c r="E255">
        <v>95</v>
      </c>
      <c r="F255">
        <v>84.33</v>
      </c>
      <c r="G255">
        <v>10.881881999999999</v>
      </c>
      <c r="H255">
        <v>88.94</v>
      </c>
      <c r="I255">
        <v>48310</v>
      </c>
      <c r="J255">
        <v>6.18</v>
      </c>
    </row>
    <row r="256" spans="1:10" x14ac:dyDescent="0.35">
      <c r="A256" t="s">
        <v>54</v>
      </c>
      <c r="B256" t="s">
        <v>55</v>
      </c>
      <c r="C256" t="s">
        <v>66</v>
      </c>
      <c r="D256">
        <v>2020</v>
      </c>
      <c r="E256">
        <v>95</v>
      </c>
      <c r="F256">
        <v>84.33</v>
      </c>
      <c r="G256">
        <v>10.999663999999999</v>
      </c>
      <c r="H256">
        <v>78.84</v>
      </c>
      <c r="I256">
        <v>48310</v>
      </c>
      <c r="J256">
        <v>6.13</v>
      </c>
    </row>
    <row r="257" spans="1:10" x14ac:dyDescent="0.35">
      <c r="A257" t="s">
        <v>54</v>
      </c>
      <c r="B257" t="s">
        <v>55</v>
      </c>
      <c r="C257" t="s">
        <v>67</v>
      </c>
      <c r="D257">
        <v>2015</v>
      </c>
      <c r="E257">
        <v>96</v>
      </c>
      <c r="F257">
        <v>91</v>
      </c>
      <c r="G257">
        <v>0.11898</v>
      </c>
      <c r="H257">
        <v>1</v>
      </c>
      <c r="I257">
        <v>340</v>
      </c>
      <c r="J257">
        <v>22.9</v>
      </c>
    </row>
    <row r="258" spans="1:10" x14ac:dyDescent="0.35">
      <c r="A258" t="s">
        <v>54</v>
      </c>
      <c r="B258" t="s">
        <v>55</v>
      </c>
      <c r="C258" t="s">
        <v>67</v>
      </c>
      <c r="D258">
        <v>2016</v>
      </c>
      <c r="E258">
        <v>96</v>
      </c>
      <c r="F258">
        <v>91</v>
      </c>
      <c r="G258">
        <v>0.119966</v>
      </c>
      <c r="H258">
        <v>1.06</v>
      </c>
      <c r="I258">
        <v>340</v>
      </c>
      <c r="J258" t="s">
        <v>14</v>
      </c>
    </row>
    <row r="259" spans="1:10" x14ac:dyDescent="0.35">
      <c r="A259" t="s">
        <v>54</v>
      </c>
      <c r="B259" t="s">
        <v>55</v>
      </c>
      <c r="C259" t="s">
        <v>67</v>
      </c>
      <c r="D259">
        <v>2017</v>
      </c>
      <c r="E259">
        <v>96</v>
      </c>
      <c r="F259">
        <v>91</v>
      </c>
      <c r="G259">
        <v>0.120921</v>
      </c>
      <c r="H259">
        <v>1.1299999999999999</v>
      </c>
      <c r="I259">
        <v>340</v>
      </c>
      <c r="J259" t="s">
        <v>14</v>
      </c>
    </row>
    <row r="260" spans="1:10" x14ac:dyDescent="0.35">
      <c r="A260" t="s">
        <v>54</v>
      </c>
      <c r="B260" t="s">
        <v>55</v>
      </c>
      <c r="C260" t="s">
        <v>68</v>
      </c>
      <c r="D260">
        <v>2015</v>
      </c>
      <c r="E260">
        <v>100</v>
      </c>
      <c r="F260">
        <v>99</v>
      </c>
      <c r="G260" t="s">
        <v>14</v>
      </c>
      <c r="H260" t="s">
        <v>14</v>
      </c>
      <c r="I260" t="s">
        <v>14</v>
      </c>
      <c r="J260" t="s">
        <v>14</v>
      </c>
    </row>
    <row r="261" spans="1:10" x14ac:dyDescent="0.35">
      <c r="A261" t="s">
        <v>54</v>
      </c>
      <c r="B261" t="s">
        <v>55</v>
      </c>
      <c r="C261" t="s">
        <v>68</v>
      </c>
      <c r="D261">
        <v>2016</v>
      </c>
      <c r="E261">
        <v>100</v>
      </c>
      <c r="F261">
        <v>99</v>
      </c>
      <c r="G261" t="s">
        <v>14</v>
      </c>
      <c r="H261" t="s">
        <v>14</v>
      </c>
      <c r="I261" t="s">
        <v>14</v>
      </c>
      <c r="J261" t="s">
        <v>14</v>
      </c>
    </row>
    <row r="262" spans="1:10" x14ac:dyDescent="0.35">
      <c r="A262" t="s">
        <v>54</v>
      </c>
      <c r="B262" t="s">
        <v>55</v>
      </c>
      <c r="C262" t="s">
        <v>68</v>
      </c>
      <c r="D262">
        <v>2017</v>
      </c>
      <c r="E262">
        <v>100</v>
      </c>
      <c r="F262">
        <v>99</v>
      </c>
      <c r="G262" t="s">
        <v>14</v>
      </c>
      <c r="H262" t="s">
        <v>14</v>
      </c>
      <c r="I262" t="s">
        <v>14</v>
      </c>
      <c r="J262" t="s">
        <v>14</v>
      </c>
    </row>
    <row r="263" spans="1:10" x14ac:dyDescent="0.35">
      <c r="A263" t="s">
        <v>54</v>
      </c>
      <c r="B263" t="s">
        <v>55</v>
      </c>
      <c r="C263" t="s">
        <v>68</v>
      </c>
      <c r="D263">
        <v>2018</v>
      </c>
      <c r="E263">
        <v>100</v>
      </c>
      <c r="F263">
        <v>99</v>
      </c>
      <c r="G263" t="s">
        <v>14</v>
      </c>
      <c r="H263" t="s">
        <v>14</v>
      </c>
      <c r="I263" t="s">
        <v>14</v>
      </c>
      <c r="J263" t="s">
        <v>14</v>
      </c>
    </row>
    <row r="264" spans="1:10" x14ac:dyDescent="0.35">
      <c r="A264" t="s">
        <v>54</v>
      </c>
      <c r="B264" t="s">
        <v>55</v>
      </c>
      <c r="C264" t="s">
        <v>68</v>
      </c>
      <c r="D264">
        <v>2019</v>
      </c>
      <c r="E264">
        <v>100</v>
      </c>
      <c r="F264">
        <v>100</v>
      </c>
      <c r="G264" t="s">
        <v>14</v>
      </c>
      <c r="H264" t="s">
        <v>14</v>
      </c>
      <c r="I264" t="s">
        <v>14</v>
      </c>
      <c r="J264" t="s">
        <v>14</v>
      </c>
    </row>
    <row r="265" spans="1:10" x14ac:dyDescent="0.35">
      <c r="A265" t="s">
        <v>54</v>
      </c>
      <c r="B265" t="s">
        <v>55</v>
      </c>
      <c r="C265" t="s">
        <v>68</v>
      </c>
      <c r="D265">
        <v>2020</v>
      </c>
      <c r="E265">
        <v>100</v>
      </c>
      <c r="F265">
        <v>100</v>
      </c>
      <c r="G265" t="s">
        <v>14</v>
      </c>
      <c r="H265" t="s">
        <v>14</v>
      </c>
      <c r="I265" t="s">
        <v>14</v>
      </c>
      <c r="J265" t="s">
        <v>14</v>
      </c>
    </row>
    <row r="266" spans="1:10" x14ac:dyDescent="0.35">
      <c r="A266" t="s">
        <v>54</v>
      </c>
      <c r="B266" t="s">
        <v>55</v>
      </c>
      <c r="C266" t="s">
        <v>69</v>
      </c>
      <c r="D266">
        <v>2015</v>
      </c>
      <c r="E266">
        <v>64</v>
      </c>
      <c r="F266">
        <v>32.33</v>
      </c>
      <c r="G266">
        <v>10.563757000000001</v>
      </c>
      <c r="H266">
        <v>14.83</v>
      </c>
      <c r="I266">
        <v>27560</v>
      </c>
      <c r="J266" t="s">
        <v>14</v>
      </c>
    </row>
    <row r="267" spans="1:10" x14ac:dyDescent="0.35">
      <c r="A267" t="s">
        <v>54</v>
      </c>
      <c r="B267" t="s">
        <v>55</v>
      </c>
      <c r="C267" t="s">
        <v>69</v>
      </c>
      <c r="D267">
        <v>2016</v>
      </c>
      <c r="E267">
        <v>64.33</v>
      </c>
      <c r="F267">
        <v>33.33</v>
      </c>
      <c r="G267">
        <v>10.713849</v>
      </c>
      <c r="H267">
        <v>13.99</v>
      </c>
      <c r="I267">
        <v>27560</v>
      </c>
      <c r="J267" t="s">
        <v>14</v>
      </c>
    </row>
    <row r="268" spans="1:10" x14ac:dyDescent="0.35">
      <c r="A268" t="s">
        <v>54</v>
      </c>
      <c r="B268" t="s">
        <v>55</v>
      </c>
      <c r="C268" t="s">
        <v>69</v>
      </c>
      <c r="D268">
        <v>2017</v>
      </c>
      <c r="E268">
        <v>64.33</v>
      </c>
      <c r="F268">
        <v>34.33</v>
      </c>
      <c r="G268">
        <v>10.863543</v>
      </c>
      <c r="H268">
        <v>15.04</v>
      </c>
      <c r="I268">
        <v>27560</v>
      </c>
      <c r="J268" t="s">
        <v>14</v>
      </c>
    </row>
    <row r="269" spans="1:10" x14ac:dyDescent="0.35">
      <c r="A269" t="s">
        <v>54</v>
      </c>
      <c r="B269" t="s">
        <v>55</v>
      </c>
      <c r="C269" t="s">
        <v>69</v>
      </c>
      <c r="D269">
        <v>2018</v>
      </c>
      <c r="E269">
        <v>64.67</v>
      </c>
      <c r="F269">
        <v>35.33</v>
      </c>
      <c r="G269">
        <v>11.012421</v>
      </c>
      <c r="H269">
        <v>16.46</v>
      </c>
      <c r="I269">
        <v>27560</v>
      </c>
      <c r="J269" t="s">
        <v>14</v>
      </c>
    </row>
    <row r="270" spans="1:10" x14ac:dyDescent="0.35">
      <c r="A270" t="s">
        <v>54</v>
      </c>
      <c r="B270" t="s">
        <v>55</v>
      </c>
      <c r="C270" t="s">
        <v>69</v>
      </c>
      <c r="D270">
        <v>2019</v>
      </c>
      <c r="E270">
        <v>64.67</v>
      </c>
      <c r="F270">
        <v>36</v>
      </c>
      <c r="G270">
        <v>11.160437999999999</v>
      </c>
      <c r="H270">
        <v>14.79</v>
      </c>
      <c r="I270">
        <v>27560</v>
      </c>
      <c r="J270" t="s">
        <v>14</v>
      </c>
    </row>
    <row r="271" spans="1:10" x14ac:dyDescent="0.35">
      <c r="A271" t="s">
        <v>54</v>
      </c>
      <c r="B271" t="s">
        <v>55</v>
      </c>
      <c r="C271" t="s">
        <v>69</v>
      </c>
      <c r="D271">
        <v>2020</v>
      </c>
      <c r="E271">
        <v>65</v>
      </c>
      <c r="F271">
        <v>36</v>
      </c>
      <c r="G271">
        <v>11.306801</v>
      </c>
      <c r="H271">
        <v>14.51</v>
      </c>
      <c r="I271">
        <v>27560</v>
      </c>
      <c r="J271" t="s">
        <v>14</v>
      </c>
    </row>
    <row r="272" spans="1:10" x14ac:dyDescent="0.35">
      <c r="A272" t="s">
        <v>54</v>
      </c>
      <c r="B272" t="s">
        <v>55</v>
      </c>
      <c r="C272" t="s">
        <v>70</v>
      </c>
      <c r="D272">
        <v>2015</v>
      </c>
      <c r="E272">
        <v>90</v>
      </c>
      <c r="F272">
        <v>86</v>
      </c>
      <c r="G272">
        <v>2.7944450000000001</v>
      </c>
      <c r="H272">
        <v>14.19</v>
      </c>
      <c r="I272">
        <v>10830</v>
      </c>
      <c r="J272">
        <v>13.51</v>
      </c>
    </row>
    <row r="273" spans="1:10" x14ac:dyDescent="0.35">
      <c r="A273" t="s">
        <v>54</v>
      </c>
      <c r="B273" t="s">
        <v>55</v>
      </c>
      <c r="C273" t="s">
        <v>70</v>
      </c>
      <c r="D273">
        <v>2016</v>
      </c>
      <c r="E273">
        <v>90.33</v>
      </c>
      <c r="F273">
        <v>86</v>
      </c>
      <c r="G273">
        <v>2.8026949999999999</v>
      </c>
      <c r="H273">
        <v>14.08</v>
      </c>
      <c r="I273">
        <v>10830</v>
      </c>
      <c r="J273">
        <v>8.6300000000000008</v>
      </c>
    </row>
    <row r="274" spans="1:10" x14ac:dyDescent="0.35">
      <c r="A274" t="s">
        <v>54</v>
      </c>
      <c r="B274" t="s">
        <v>55</v>
      </c>
      <c r="C274" t="s">
        <v>70</v>
      </c>
      <c r="D274">
        <v>2017</v>
      </c>
      <c r="E274">
        <v>90.33</v>
      </c>
      <c r="F274">
        <v>86.33</v>
      </c>
      <c r="G274">
        <v>2.808376</v>
      </c>
      <c r="H274">
        <v>14.81</v>
      </c>
      <c r="I274">
        <v>10830</v>
      </c>
      <c r="J274">
        <v>7.4</v>
      </c>
    </row>
    <row r="275" spans="1:10" x14ac:dyDescent="0.35">
      <c r="A275" t="s">
        <v>54</v>
      </c>
      <c r="B275" t="s">
        <v>55</v>
      </c>
      <c r="C275" t="s">
        <v>70</v>
      </c>
      <c r="D275">
        <v>2018</v>
      </c>
      <c r="E275">
        <v>90.33</v>
      </c>
      <c r="F275">
        <v>86.67</v>
      </c>
      <c r="G275">
        <v>2.8118349999999999</v>
      </c>
      <c r="H275">
        <v>15.73</v>
      </c>
      <c r="I275">
        <v>10830</v>
      </c>
      <c r="J275">
        <v>5.47</v>
      </c>
    </row>
    <row r="276" spans="1:10" x14ac:dyDescent="0.35">
      <c r="A276" t="s">
        <v>54</v>
      </c>
      <c r="B276" t="s">
        <v>55</v>
      </c>
      <c r="C276" t="s">
        <v>70</v>
      </c>
      <c r="D276">
        <v>2019</v>
      </c>
      <c r="E276">
        <v>90.33</v>
      </c>
      <c r="F276">
        <v>87</v>
      </c>
      <c r="G276">
        <v>2.8137729999999999</v>
      </c>
      <c r="H276">
        <v>15.83</v>
      </c>
      <c r="I276">
        <v>10830</v>
      </c>
      <c r="J276">
        <v>4.99</v>
      </c>
    </row>
    <row r="277" spans="1:10" x14ac:dyDescent="0.35">
      <c r="A277" t="s">
        <v>54</v>
      </c>
      <c r="B277" t="s">
        <v>55</v>
      </c>
      <c r="C277" t="s">
        <v>70</v>
      </c>
      <c r="D277">
        <v>2020</v>
      </c>
      <c r="E277">
        <v>90.33</v>
      </c>
      <c r="F277">
        <v>87</v>
      </c>
      <c r="G277">
        <v>2.8204359999999999</v>
      </c>
      <c r="H277">
        <v>13.81</v>
      </c>
      <c r="I277">
        <v>10830</v>
      </c>
      <c r="J277">
        <v>6.5</v>
      </c>
    </row>
    <row r="278" spans="1:10" x14ac:dyDescent="0.35">
      <c r="A278" t="s">
        <v>54</v>
      </c>
      <c r="B278" t="s">
        <v>55</v>
      </c>
      <c r="C278" t="s">
        <v>71</v>
      </c>
      <c r="D278">
        <v>2015</v>
      </c>
      <c r="E278">
        <v>100</v>
      </c>
      <c r="F278">
        <v>99</v>
      </c>
      <c r="G278" t="s">
        <v>14</v>
      </c>
      <c r="H278" t="s">
        <v>14</v>
      </c>
      <c r="I278" t="s">
        <v>14</v>
      </c>
      <c r="J278" t="s">
        <v>14</v>
      </c>
    </row>
    <row r="279" spans="1:10" x14ac:dyDescent="0.35">
      <c r="A279" t="s">
        <v>54</v>
      </c>
      <c r="B279" t="s">
        <v>55</v>
      </c>
      <c r="C279" t="s">
        <v>71</v>
      </c>
      <c r="D279">
        <v>2016</v>
      </c>
      <c r="E279">
        <v>100</v>
      </c>
      <c r="F279">
        <v>99</v>
      </c>
      <c r="G279" t="s">
        <v>14</v>
      </c>
      <c r="H279" t="s">
        <v>14</v>
      </c>
      <c r="I279" t="s">
        <v>14</v>
      </c>
      <c r="J279" t="s">
        <v>14</v>
      </c>
    </row>
    <row r="280" spans="1:10" x14ac:dyDescent="0.35">
      <c r="A280" t="s">
        <v>54</v>
      </c>
      <c r="B280" t="s">
        <v>55</v>
      </c>
      <c r="C280" t="s">
        <v>71</v>
      </c>
      <c r="D280">
        <v>2017</v>
      </c>
      <c r="E280">
        <v>100</v>
      </c>
      <c r="F280">
        <v>99</v>
      </c>
      <c r="G280" t="s">
        <v>14</v>
      </c>
      <c r="H280" t="s">
        <v>14</v>
      </c>
      <c r="I280" t="s">
        <v>14</v>
      </c>
      <c r="J280" t="s">
        <v>14</v>
      </c>
    </row>
    <row r="281" spans="1:10" x14ac:dyDescent="0.35">
      <c r="A281" t="s">
        <v>54</v>
      </c>
      <c r="B281" t="s">
        <v>55</v>
      </c>
      <c r="C281" t="s">
        <v>71</v>
      </c>
      <c r="D281">
        <v>2018</v>
      </c>
      <c r="E281">
        <v>100</v>
      </c>
      <c r="F281">
        <v>99</v>
      </c>
      <c r="G281" t="s">
        <v>14</v>
      </c>
      <c r="H281" t="s">
        <v>14</v>
      </c>
      <c r="I281" t="s">
        <v>14</v>
      </c>
      <c r="J281" t="s">
        <v>14</v>
      </c>
    </row>
    <row r="282" spans="1:10" x14ac:dyDescent="0.35">
      <c r="A282" t="s">
        <v>54</v>
      </c>
      <c r="B282" t="s">
        <v>55</v>
      </c>
      <c r="C282" t="s">
        <v>71</v>
      </c>
      <c r="D282">
        <v>2019</v>
      </c>
      <c r="E282">
        <v>100</v>
      </c>
      <c r="F282">
        <v>100</v>
      </c>
      <c r="G282" t="s">
        <v>14</v>
      </c>
      <c r="H282" t="s">
        <v>14</v>
      </c>
      <c r="I282" t="s">
        <v>14</v>
      </c>
      <c r="J282" t="s">
        <v>14</v>
      </c>
    </row>
    <row r="283" spans="1:10" x14ac:dyDescent="0.35">
      <c r="A283" t="s">
        <v>54</v>
      </c>
      <c r="B283" t="s">
        <v>55</v>
      </c>
      <c r="C283" t="s">
        <v>71</v>
      </c>
      <c r="D283">
        <v>2020</v>
      </c>
      <c r="E283">
        <v>100</v>
      </c>
      <c r="F283">
        <v>100</v>
      </c>
      <c r="G283" t="s">
        <v>14</v>
      </c>
      <c r="H283" t="s">
        <v>14</v>
      </c>
      <c r="I283" t="s">
        <v>14</v>
      </c>
      <c r="J283" t="s">
        <v>14</v>
      </c>
    </row>
    <row r="284" spans="1:10" x14ac:dyDescent="0.35">
      <c r="A284" t="s">
        <v>54</v>
      </c>
      <c r="B284" t="s">
        <v>55</v>
      </c>
      <c r="C284" t="s">
        <v>72</v>
      </c>
      <c r="D284">
        <v>2015</v>
      </c>
      <c r="E284">
        <v>98</v>
      </c>
      <c r="F284">
        <v>87</v>
      </c>
      <c r="G284" t="s">
        <v>14</v>
      </c>
      <c r="H284" t="s">
        <v>14</v>
      </c>
      <c r="I284" t="s">
        <v>14</v>
      </c>
      <c r="J284" t="s">
        <v>14</v>
      </c>
    </row>
    <row r="285" spans="1:10" x14ac:dyDescent="0.35">
      <c r="A285" t="s">
        <v>54</v>
      </c>
      <c r="B285" t="s">
        <v>55</v>
      </c>
      <c r="C285" t="s">
        <v>72</v>
      </c>
      <c r="D285">
        <v>2016</v>
      </c>
      <c r="E285">
        <v>98</v>
      </c>
      <c r="F285">
        <v>88</v>
      </c>
      <c r="G285" t="s">
        <v>14</v>
      </c>
      <c r="H285" t="s">
        <v>14</v>
      </c>
      <c r="I285" t="s">
        <v>14</v>
      </c>
      <c r="J285" t="s">
        <v>14</v>
      </c>
    </row>
    <row r="286" spans="1:10" x14ac:dyDescent="0.35">
      <c r="A286" t="s">
        <v>54</v>
      </c>
      <c r="B286" t="s">
        <v>55</v>
      </c>
      <c r="C286" t="s">
        <v>72</v>
      </c>
      <c r="D286">
        <v>2017</v>
      </c>
      <c r="E286">
        <v>98</v>
      </c>
      <c r="F286">
        <v>88</v>
      </c>
      <c r="G286" t="s">
        <v>14</v>
      </c>
      <c r="H286" t="s">
        <v>14</v>
      </c>
      <c r="I286" t="s">
        <v>14</v>
      </c>
      <c r="J286" t="s">
        <v>14</v>
      </c>
    </row>
    <row r="287" spans="1:10" x14ac:dyDescent="0.35">
      <c r="A287" t="s">
        <v>54</v>
      </c>
      <c r="B287" t="s">
        <v>55</v>
      </c>
      <c r="C287" t="s">
        <v>72</v>
      </c>
      <c r="D287">
        <v>2018</v>
      </c>
      <c r="E287">
        <v>98</v>
      </c>
      <c r="F287">
        <v>88</v>
      </c>
      <c r="G287" t="s">
        <v>14</v>
      </c>
      <c r="H287" t="s">
        <v>14</v>
      </c>
      <c r="I287" t="s">
        <v>14</v>
      </c>
      <c r="J287" t="s">
        <v>14</v>
      </c>
    </row>
    <row r="288" spans="1:10" x14ac:dyDescent="0.35">
      <c r="A288" t="s">
        <v>54</v>
      </c>
      <c r="B288" t="s">
        <v>55</v>
      </c>
      <c r="C288" t="s">
        <v>72</v>
      </c>
      <c r="D288">
        <v>2019</v>
      </c>
      <c r="E288">
        <v>98</v>
      </c>
      <c r="F288">
        <v>89</v>
      </c>
      <c r="G288" t="s">
        <v>14</v>
      </c>
      <c r="H288" t="s">
        <v>14</v>
      </c>
      <c r="I288" t="s">
        <v>14</v>
      </c>
      <c r="J288" t="s">
        <v>14</v>
      </c>
    </row>
    <row r="289" spans="1:10" x14ac:dyDescent="0.35">
      <c r="A289" t="s">
        <v>54</v>
      </c>
      <c r="B289" t="s">
        <v>55</v>
      </c>
      <c r="C289" t="s">
        <v>72</v>
      </c>
      <c r="D289">
        <v>2020</v>
      </c>
      <c r="E289">
        <v>98</v>
      </c>
      <c r="F289">
        <v>89</v>
      </c>
      <c r="G289" t="s">
        <v>14</v>
      </c>
      <c r="H289" t="s">
        <v>14</v>
      </c>
      <c r="I289" t="s">
        <v>14</v>
      </c>
      <c r="J289" t="s">
        <v>14</v>
      </c>
    </row>
    <row r="290" spans="1:10" x14ac:dyDescent="0.35">
      <c r="A290" t="s">
        <v>54</v>
      </c>
      <c r="B290" t="s">
        <v>55</v>
      </c>
      <c r="C290" t="s">
        <v>73</v>
      </c>
      <c r="D290">
        <v>2015</v>
      </c>
      <c r="E290">
        <v>99</v>
      </c>
      <c r="F290">
        <v>100</v>
      </c>
      <c r="G290">
        <v>3.4732319999999999</v>
      </c>
      <c r="H290">
        <v>103.38</v>
      </c>
      <c r="I290">
        <v>8870</v>
      </c>
      <c r="J290">
        <v>12</v>
      </c>
    </row>
    <row r="291" spans="1:10" x14ac:dyDescent="0.35">
      <c r="A291" t="s">
        <v>54</v>
      </c>
      <c r="B291" t="s">
        <v>55</v>
      </c>
      <c r="C291" t="s">
        <v>73</v>
      </c>
      <c r="D291">
        <v>2016</v>
      </c>
      <c r="E291">
        <v>100</v>
      </c>
      <c r="F291">
        <v>100</v>
      </c>
      <c r="G291">
        <v>3.4066719999999999</v>
      </c>
      <c r="H291">
        <v>104.34</v>
      </c>
      <c r="I291">
        <v>8870</v>
      </c>
      <c r="J291">
        <v>11.8</v>
      </c>
    </row>
    <row r="292" spans="1:10" x14ac:dyDescent="0.35">
      <c r="A292" t="s">
        <v>54</v>
      </c>
      <c r="B292" t="s">
        <v>55</v>
      </c>
      <c r="C292" t="s">
        <v>73</v>
      </c>
      <c r="D292">
        <v>2017</v>
      </c>
      <c r="E292">
        <v>100</v>
      </c>
      <c r="F292">
        <v>100</v>
      </c>
      <c r="G292">
        <v>3.3252860000000002</v>
      </c>
      <c r="H292">
        <v>103.45</v>
      </c>
      <c r="I292">
        <v>8870</v>
      </c>
      <c r="J292">
        <v>10.8</v>
      </c>
    </row>
    <row r="293" spans="1:10" x14ac:dyDescent="0.35">
      <c r="A293" t="s">
        <v>54</v>
      </c>
      <c r="B293" t="s">
        <v>55</v>
      </c>
      <c r="C293" t="s">
        <v>73</v>
      </c>
      <c r="D293">
        <v>2018</v>
      </c>
      <c r="E293">
        <v>100</v>
      </c>
      <c r="F293">
        <v>100</v>
      </c>
      <c r="G293">
        <v>3.1933539999999998</v>
      </c>
      <c r="H293">
        <v>100.96</v>
      </c>
      <c r="I293">
        <v>8870</v>
      </c>
      <c r="J293">
        <v>9.1999999999999993</v>
      </c>
    </row>
    <row r="294" spans="1:10" x14ac:dyDescent="0.35">
      <c r="A294" t="s">
        <v>54</v>
      </c>
      <c r="B294" t="s">
        <v>55</v>
      </c>
      <c r="C294" t="s">
        <v>73</v>
      </c>
      <c r="D294">
        <v>2019</v>
      </c>
      <c r="E294">
        <v>100</v>
      </c>
      <c r="F294">
        <v>100</v>
      </c>
      <c r="G294">
        <v>3.1936939999999998</v>
      </c>
      <c r="H294">
        <v>105.13</v>
      </c>
      <c r="I294">
        <v>8870</v>
      </c>
      <c r="J294">
        <v>8.3000000000000007</v>
      </c>
    </row>
    <row r="295" spans="1:10" x14ac:dyDescent="0.35">
      <c r="A295" t="s">
        <v>54</v>
      </c>
      <c r="B295" t="s">
        <v>55</v>
      </c>
      <c r="C295" t="s">
        <v>73</v>
      </c>
      <c r="D295">
        <v>2020</v>
      </c>
      <c r="E295">
        <v>100</v>
      </c>
      <c r="F295">
        <v>100</v>
      </c>
      <c r="G295">
        <v>3.2815379999999998</v>
      </c>
      <c r="H295">
        <v>103.02</v>
      </c>
      <c r="I295">
        <v>8870</v>
      </c>
      <c r="J295" t="s">
        <v>14</v>
      </c>
    </row>
    <row r="296" spans="1:10" x14ac:dyDescent="0.35">
      <c r="A296" t="s">
        <v>54</v>
      </c>
      <c r="B296" t="s">
        <v>55</v>
      </c>
      <c r="C296" t="s">
        <v>74</v>
      </c>
      <c r="D296">
        <v>2015</v>
      </c>
      <c r="E296">
        <v>100</v>
      </c>
      <c r="F296">
        <v>100</v>
      </c>
      <c r="G296" t="s">
        <v>14</v>
      </c>
      <c r="H296" t="s">
        <v>14</v>
      </c>
      <c r="I296" t="s">
        <v>14</v>
      </c>
      <c r="J296" t="s">
        <v>14</v>
      </c>
    </row>
    <row r="297" spans="1:10" x14ac:dyDescent="0.35">
      <c r="A297" t="s">
        <v>54</v>
      </c>
      <c r="B297" t="s">
        <v>55</v>
      </c>
      <c r="C297" t="s">
        <v>74</v>
      </c>
      <c r="D297">
        <v>2016</v>
      </c>
      <c r="E297">
        <v>100</v>
      </c>
      <c r="F297">
        <v>100</v>
      </c>
      <c r="G297" t="s">
        <v>14</v>
      </c>
      <c r="H297" t="s">
        <v>14</v>
      </c>
      <c r="I297" t="s">
        <v>14</v>
      </c>
      <c r="J297" t="s">
        <v>14</v>
      </c>
    </row>
    <row r="298" spans="1:10" x14ac:dyDescent="0.35">
      <c r="A298" t="s">
        <v>54</v>
      </c>
      <c r="B298" t="s">
        <v>55</v>
      </c>
      <c r="C298" t="s">
        <v>74</v>
      </c>
      <c r="D298">
        <v>2017</v>
      </c>
      <c r="E298">
        <v>100</v>
      </c>
      <c r="F298">
        <v>100</v>
      </c>
      <c r="G298" t="s">
        <v>14</v>
      </c>
      <c r="H298" t="s">
        <v>14</v>
      </c>
      <c r="I298" t="s">
        <v>14</v>
      </c>
      <c r="J298" t="s">
        <v>14</v>
      </c>
    </row>
    <row r="299" spans="1:10" x14ac:dyDescent="0.35">
      <c r="A299" t="s">
        <v>54</v>
      </c>
      <c r="B299" t="s">
        <v>55</v>
      </c>
      <c r="C299" t="s">
        <v>74</v>
      </c>
      <c r="D299">
        <v>2018</v>
      </c>
      <c r="E299">
        <v>100</v>
      </c>
      <c r="F299">
        <v>100</v>
      </c>
      <c r="G299" t="s">
        <v>14</v>
      </c>
      <c r="H299" t="s">
        <v>14</v>
      </c>
      <c r="I299" t="s">
        <v>14</v>
      </c>
      <c r="J299" t="s">
        <v>14</v>
      </c>
    </row>
    <row r="300" spans="1:10" x14ac:dyDescent="0.35">
      <c r="A300" t="s">
        <v>54</v>
      </c>
      <c r="B300" t="s">
        <v>55</v>
      </c>
      <c r="C300" t="s">
        <v>74</v>
      </c>
      <c r="D300">
        <v>2019</v>
      </c>
      <c r="E300">
        <v>100</v>
      </c>
      <c r="F300">
        <v>100</v>
      </c>
      <c r="G300" t="s">
        <v>14</v>
      </c>
      <c r="H300" t="s">
        <v>14</v>
      </c>
      <c r="I300" t="s">
        <v>14</v>
      </c>
      <c r="J300" t="s">
        <v>14</v>
      </c>
    </row>
    <row r="301" spans="1:10" x14ac:dyDescent="0.35">
      <c r="A301" t="s">
        <v>54</v>
      </c>
      <c r="B301" t="s">
        <v>55</v>
      </c>
      <c r="C301" t="s">
        <v>74</v>
      </c>
      <c r="D301">
        <v>2020</v>
      </c>
      <c r="E301">
        <v>100</v>
      </c>
      <c r="F301">
        <v>100</v>
      </c>
      <c r="G301" t="s">
        <v>14</v>
      </c>
      <c r="H301" t="s">
        <v>14</v>
      </c>
      <c r="I301" t="s">
        <v>14</v>
      </c>
      <c r="J301" t="s">
        <v>14</v>
      </c>
    </row>
    <row r="302" spans="1:10" x14ac:dyDescent="0.35">
      <c r="A302" t="s">
        <v>54</v>
      </c>
      <c r="B302" t="s">
        <v>55</v>
      </c>
      <c r="C302" t="s">
        <v>75</v>
      </c>
      <c r="D302">
        <v>2015</v>
      </c>
      <c r="E302">
        <v>99</v>
      </c>
      <c r="F302">
        <v>95</v>
      </c>
      <c r="G302" t="s">
        <v>14</v>
      </c>
      <c r="H302" t="s">
        <v>14</v>
      </c>
      <c r="I302" t="s">
        <v>14</v>
      </c>
      <c r="J302" t="s">
        <v>14</v>
      </c>
    </row>
    <row r="303" spans="1:10" x14ac:dyDescent="0.35">
      <c r="A303" t="s">
        <v>54</v>
      </c>
      <c r="B303" t="s">
        <v>55</v>
      </c>
      <c r="C303" t="s">
        <v>75</v>
      </c>
      <c r="D303">
        <v>2016</v>
      </c>
      <c r="E303">
        <v>99</v>
      </c>
      <c r="F303">
        <v>95</v>
      </c>
      <c r="G303" t="s">
        <v>14</v>
      </c>
      <c r="H303" t="s">
        <v>14</v>
      </c>
      <c r="I303" t="s">
        <v>14</v>
      </c>
      <c r="J303" t="s">
        <v>14</v>
      </c>
    </row>
    <row r="304" spans="1:10" x14ac:dyDescent="0.35">
      <c r="A304" t="s">
        <v>54</v>
      </c>
      <c r="B304" t="s">
        <v>55</v>
      </c>
      <c r="C304" t="s">
        <v>75</v>
      </c>
      <c r="D304">
        <v>2017</v>
      </c>
      <c r="E304">
        <v>99</v>
      </c>
      <c r="F304">
        <v>95</v>
      </c>
      <c r="G304" t="s">
        <v>14</v>
      </c>
      <c r="H304" t="s">
        <v>14</v>
      </c>
      <c r="I304" t="s">
        <v>14</v>
      </c>
      <c r="J304" t="s">
        <v>14</v>
      </c>
    </row>
    <row r="305" spans="1:10" x14ac:dyDescent="0.35">
      <c r="A305" t="s">
        <v>54</v>
      </c>
      <c r="B305" t="s">
        <v>55</v>
      </c>
      <c r="C305" t="s">
        <v>76</v>
      </c>
      <c r="D305">
        <v>2015</v>
      </c>
      <c r="E305">
        <v>96</v>
      </c>
      <c r="F305">
        <v>81.33</v>
      </c>
      <c r="G305" t="s">
        <v>14</v>
      </c>
      <c r="H305" t="s">
        <v>14</v>
      </c>
      <c r="I305" t="s">
        <v>14</v>
      </c>
      <c r="J305" t="s">
        <v>14</v>
      </c>
    </row>
    <row r="306" spans="1:10" x14ac:dyDescent="0.35">
      <c r="A306" t="s">
        <v>54</v>
      </c>
      <c r="B306" t="s">
        <v>55</v>
      </c>
      <c r="C306" t="s">
        <v>76</v>
      </c>
      <c r="D306">
        <v>2016</v>
      </c>
      <c r="E306">
        <v>96.33</v>
      </c>
      <c r="F306">
        <v>81.67</v>
      </c>
      <c r="G306" t="s">
        <v>14</v>
      </c>
      <c r="H306" t="s">
        <v>14</v>
      </c>
      <c r="I306" t="s">
        <v>14</v>
      </c>
      <c r="J306" t="s">
        <v>14</v>
      </c>
    </row>
    <row r="307" spans="1:10" x14ac:dyDescent="0.35">
      <c r="A307" t="s">
        <v>54</v>
      </c>
      <c r="B307" t="s">
        <v>55</v>
      </c>
      <c r="C307" t="s">
        <v>76</v>
      </c>
      <c r="D307">
        <v>2017</v>
      </c>
      <c r="E307">
        <v>96.33</v>
      </c>
      <c r="F307">
        <v>82</v>
      </c>
      <c r="G307" t="s">
        <v>14</v>
      </c>
      <c r="H307" t="s">
        <v>14</v>
      </c>
      <c r="I307" t="s">
        <v>14</v>
      </c>
      <c r="J307" t="s">
        <v>14</v>
      </c>
    </row>
    <row r="308" spans="1:10" x14ac:dyDescent="0.35">
      <c r="A308" t="s">
        <v>54</v>
      </c>
      <c r="B308" t="s">
        <v>55</v>
      </c>
      <c r="C308" t="s">
        <v>76</v>
      </c>
      <c r="D308">
        <v>2018</v>
      </c>
      <c r="E308">
        <v>97</v>
      </c>
      <c r="F308">
        <v>82</v>
      </c>
      <c r="G308" t="s">
        <v>14</v>
      </c>
      <c r="H308" t="s">
        <v>14</v>
      </c>
      <c r="I308" t="s">
        <v>14</v>
      </c>
      <c r="J308" t="s">
        <v>14</v>
      </c>
    </row>
    <row r="309" spans="1:10" x14ac:dyDescent="0.35">
      <c r="A309" t="s">
        <v>54</v>
      </c>
      <c r="B309" t="s">
        <v>55</v>
      </c>
      <c r="C309" t="s">
        <v>76</v>
      </c>
      <c r="D309">
        <v>2019</v>
      </c>
      <c r="E309">
        <v>97</v>
      </c>
      <c r="F309">
        <v>82</v>
      </c>
      <c r="G309" t="s">
        <v>14</v>
      </c>
      <c r="H309" t="s">
        <v>14</v>
      </c>
      <c r="I309" t="s">
        <v>14</v>
      </c>
      <c r="J309" t="s">
        <v>14</v>
      </c>
    </row>
    <row r="310" spans="1:10" x14ac:dyDescent="0.35">
      <c r="A310" t="s">
        <v>54</v>
      </c>
      <c r="B310" t="s">
        <v>55</v>
      </c>
      <c r="C310" t="s">
        <v>76</v>
      </c>
      <c r="D310">
        <v>2020</v>
      </c>
      <c r="E310">
        <v>97</v>
      </c>
      <c r="F310">
        <v>82</v>
      </c>
      <c r="G310" t="s">
        <v>14</v>
      </c>
      <c r="H310" t="s">
        <v>14</v>
      </c>
      <c r="I310" t="s">
        <v>14</v>
      </c>
      <c r="J310" t="s">
        <v>14</v>
      </c>
    </row>
    <row r="311" spans="1:10" x14ac:dyDescent="0.35">
      <c r="A311" t="s">
        <v>54</v>
      </c>
      <c r="B311" t="s">
        <v>55</v>
      </c>
      <c r="C311" t="s">
        <v>77</v>
      </c>
      <c r="D311">
        <v>2015</v>
      </c>
      <c r="E311">
        <v>100</v>
      </c>
      <c r="F311">
        <v>100</v>
      </c>
      <c r="G311" t="s">
        <v>14</v>
      </c>
      <c r="H311" t="s">
        <v>14</v>
      </c>
      <c r="I311" t="s">
        <v>14</v>
      </c>
      <c r="J311" t="s">
        <v>14</v>
      </c>
    </row>
    <row r="312" spans="1:10" x14ac:dyDescent="0.35">
      <c r="A312" t="s">
        <v>54</v>
      </c>
      <c r="B312" t="s">
        <v>55</v>
      </c>
      <c r="C312" t="s">
        <v>77</v>
      </c>
      <c r="D312">
        <v>2016</v>
      </c>
      <c r="E312">
        <v>100</v>
      </c>
      <c r="F312">
        <v>100</v>
      </c>
      <c r="G312" t="s">
        <v>14</v>
      </c>
      <c r="H312" t="s">
        <v>14</v>
      </c>
      <c r="I312" t="s">
        <v>14</v>
      </c>
      <c r="J312" t="s">
        <v>14</v>
      </c>
    </row>
    <row r="313" spans="1:10" x14ac:dyDescent="0.35">
      <c r="A313" t="s">
        <v>54</v>
      </c>
      <c r="B313" t="s">
        <v>55</v>
      </c>
      <c r="C313" t="s">
        <v>77</v>
      </c>
      <c r="D313">
        <v>2017</v>
      </c>
      <c r="E313">
        <v>100</v>
      </c>
      <c r="F313">
        <v>100</v>
      </c>
      <c r="G313" t="s">
        <v>14</v>
      </c>
      <c r="H313" t="s">
        <v>14</v>
      </c>
      <c r="I313" t="s">
        <v>14</v>
      </c>
      <c r="J313" t="s">
        <v>14</v>
      </c>
    </row>
    <row r="314" spans="1:10" x14ac:dyDescent="0.35">
      <c r="A314" t="s">
        <v>54</v>
      </c>
      <c r="B314" t="s">
        <v>55</v>
      </c>
      <c r="C314" t="s">
        <v>77</v>
      </c>
      <c r="D314">
        <v>2018</v>
      </c>
      <c r="E314">
        <v>100</v>
      </c>
      <c r="F314">
        <v>100</v>
      </c>
      <c r="G314" t="s">
        <v>14</v>
      </c>
      <c r="H314" t="s">
        <v>14</v>
      </c>
      <c r="I314" t="s">
        <v>14</v>
      </c>
      <c r="J314" t="s">
        <v>14</v>
      </c>
    </row>
    <row r="315" spans="1:10" x14ac:dyDescent="0.35">
      <c r="A315" t="s">
        <v>54</v>
      </c>
      <c r="B315" t="s">
        <v>55</v>
      </c>
      <c r="C315" t="s">
        <v>77</v>
      </c>
      <c r="D315">
        <v>2019</v>
      </c>
      <c r="E315">
        <v>100</v>
      </c>
      <c r="F315">
        <v>100</v>
      </c>
      <c r="G315" t="s">
        <v>14</v>
      </c>
      <c r="H315" t="s">
        <v>14</v>
      </c>
      <c r="I315" t="s">
        <v>14</v>
      </c>
      <c r="J315" t="s">
        <v>14</v>
      </c>
    </row>
    <row r="316" spans="1:10" x14ac:dyDescent="0.35">
      <c r="A316" t="s">
        <v>54</v>
      </c>
      <c r="B316" t="s">
        <v>55</v>
      </c>
      <c r="C316" t="s">
        <v>77</v>
      </c>
      <c r="D316">
        <v>2020</v>
      </c>
      <c r="E316">
        <v>100</v>
      </c>
      <c r="F316">
        <v>100</v>
      </c>
      <c r="G316" t="s">
        <v>14</v>
      </c>
      <c r="H316" t="s">
        <v>14</v>
      </c>
      <c r="I316" t="s">
        <v>14</v>
      </c>
      <c r="J316" t="s">
        <v>14</v>
      </c>
    </row>
    <row r="317" spans="1:10" x14ac:dyDescent="0.35">
      <c r="A317" t="s">
        <v>54</v>
      </c>
      <c r="B317" t="s">
        <v>55</v>
      </c>
      <c r="C317" t="s">
        <v>78</v>
      </c>
      <c r="D317">
        <v>2015</v>
      </c>
      <c r="E317">
        <v>95</v>
      </c>
      <c r="F317">
        <v>87</v>
      </c>
      <c r="G317" t="s">
        <v>14</v>
      </c>
      <c r="H317" t="s">
        <v>14</v>
      </c>
      <c r="I317" t="s">
        <v>14</v>
      </c>
      <c r="J317" t="s">
        <v>14</v>
      </c>
    </row>
    <row r="318" spans="1:10" x14ac:dyDescent="0.35">
      <c r="A318" t="s">
        <v>54</v>
      </c>
      <c r="B318" t="s">
        <v>55</v>
      </c>
      <c r="C318" t="s">
        <v>78</v>
      </c>
      <c r="D318">
        <v>2016</v>
      </c>
      <c r="E318">
        <v>95</v>
      </c>
      <c r="F318">
        <v>87</v>
      </c>
      <c r="G318" t="s">
        <v>14</v>
      </c>
      <c r="H318" t="s">
        <v>14</v>
      </c>
      <c r="I318" t="s">
        <v>14</v>
      </c>
      <c r="J318" t="s">
        <v>14</v>
      </c>
    </row>
    <row r="319" spans="1:10" x14ac:dyDescent="0.35">
      <c r="A319" t="s">
        <v>54</v>
      </c>
      <c r="B319" t="s">
        <v>55</v>
      </c>
      <c r="C319" t="s">
        <v>78</v>
      </c>
      <c r="D319">
        <v>2017</v>
      </c>
      <c r="E319">
        <v>95</v>
      </c>
      <c r="F319">
        <v>87</v>
      </c>
      <c r="G319" t="s">
        <v>14</v>
      </c>
      <c r="H319" t="s">
        <v>14</v>
      </c>
      <c r="I319" t="s">
        <v>14</v>
      </c>
      <c r="J319" t="s">
        <v>14</v>
      </c>
    </row>
    <row r="320" spans="1:10" x14ac:dyDescent="0.35">
      <c r="A320" t="s">
        <v>54</v>
      </c>
      <c r="B320" t="s">
        <v>55</v>
      </c>
      <c r="C320" t="s">
        <v>78</v>
      </c>
      <c r="D320">
        <v>2018</v>
      </c>
      <c r="E320">
        <v>95</v>
      </c>
      <c r="F320">
        <v>87</v>
      </c>
      <c r="G320" t="s">
        <v>14</v>
      </c>
      <c r="H320" t="s">
        <v>14</v>
      </c>
      <c r="I320" t="s">
        <v>14</v>
      </c>
      <c r="J320" t="s">
        <v>14</v>
      </c>
    </row>
    <row r="321" spans="1:10" x14ac:dyDescent="0.35">
      <c r="A321" t="s">
        <v>54</v>
      </c>
      <c r="B321" t="s">
        <v>55</v>
      </c>
      <c r="C321" t="s">
        <v>79</v>
      </c>
      <c r="D321">
        <v>2015</v>
      </c>
      <c r="E321">
        <v>95</v>
      </c>
      <c r="F321">
        <v>99</v>
      </c>
      <c r="G321">
        <v>3.8824999999999998E-2</v>
      </c>
      <c r="H321">
        <v>1.25</v>
      </c>
      <c r="I321">
        <v>34</v>
      </c>
      <c r="J321" t="s">
        <v>14</v>
      </c>
    </row>
    <row r="322" spans="1:10" x14ac:dyDescent="0.35">
      <c r="A322" t="s">
        <v>54</v>
      </c>
      <c r="B322" t="s">
        <v>55</v>
      </c>
      <c r="C322" t="s">
        <v>79</v>
      </c>
      <c r="D322">
        <v>2016</v>
      </c>
      <c r="E322">
        <v>95</v>
      </c>
      <c r="F322">
        <v>99</v>
      </c>
      <c r="G322">
        <v>3.9968999999999998E-2</v>
      </c>
      <c r="H322">
        <v>1.26</v>
      </c>
      <c r="I322">
        <v>34</v>
      </c>
      <c r="J322" t="s">
        <v>14</v>
      </c>
    </row>
    <row r="323" spans="1:10" x14ac:dyDescent="0.35">
      <c r="A323" t="s">
        <v>54</v>
      </c>
      <c r="B323" t="s">
        <v>55</v>
      </c>
      <c r="C323" t="s">
        <v>79</v>
      </c>
      <c r="D323">
        <v>2017</v>
      </c>
      <c r="E323">
        <v>95</v>
      </c>
      <c r="F323">
        <v>99</v>
      </c>
      <c r="G323">
        <v>4.0573999999999999E-2</v>
      </c>
      <c r="H323">
        <v>1.19</v>
      </c>
      <c r="I323">
        <v>34</v>
      </c>
      <c r="J323" t="s">
        <v>14</v>
      </c>
    </row>
    <row r="324" spans="1:10" x14ac:dyDescent="0.35">
      <c r="A324" t="s">
        <v>54</v>
      </c>
      <c r="B324" t="s">
        <v>55</v>
      </c>
      <c r="C324" t="s">
        <v>80</v>
      </c>
      <c r="D324">
        <v>2015</v>
      </c>
      <c r="E324">
        <v>98</v>
      </c>
      <c r="F324">
        <v>94</v>
      </c>
      <c r="G324">
        <v>1.4601770000000001</v>
      </c>
      <c r="H324">
        <v>26.85</v>
      </c>
      <c r="I324">
        <v>5130</v>
      </c>
      <c r="J324">
        <v>2.4300000000000002</v>
      </c>
    </row>
    <row r="325" spans="1:10" x14ac:dyDescent="0.35">
      <c r="A325" t="s">
        <v>54</v>
      </c>
      <c r="B325" t="s">
        <v>55</v>
      </c>
      <c r="C325" t="s">
        <v>80</v>
      </c>
      <c r="D325">
        <v>2016</v>
      </c>
      <c r="E325">
        <v>99</v>
      </c>
      <c r="F325">
        <v>94</v>
      </c>
      <c r="G325">
        <v>1.46933</v>
      </c>
      <c r="H325">
        <v>23.5</v>
      </c>
      <c r="I325">
        <v>5130</v>
      </c>
      <c r="J325">
        <v>3.21</v>
      </c>
    </row>
    <row r="326" spans="1:10" x14ac:dyDescent="0.35">
      <c r="A326" t="s">
        <v>54</v>
      </c>
      <c r="B326" t="s">
        <v>55</v>
      </c>
      <c r="C326" t="s">
        <v>80</v>
      </c>
      <c r="D326">
        <v>2017</v>
      </c>
      <c r="E326">
        <v>99</v>
      </c>
      <c r="F326">
        <v>94</v>
      </c>
      <c r="G326">
        <v>1.478607</v>
      </c>
      <c r="H326">
        <v>23.8</v>
      </c>
      <c r="I326">
        <v>5130</v>
      </c>
      <c r="J326" t="s">
        <v>14</v>
      </c>
    </row>
    <row r="327" spans="1:10" x14ac:dyDescent="0.35">
      <c r="A327" t="s">
        <v>54</v>
      </c>
      <c r="B327" t="s">
        <v>55</v>
      </c>
      <c r="C327" t="s">
        <v>80</v>
      </c>
      <c r="D327">
        <v>2018</v>
      </c>
      <c r="E327">
        <v>99</v>
      </c>
      <c r="F327">
        <v>94</v>
      </c>
      <c r="G327">
        <v>1.5047090000000001</v>
      </c>
      <c r="H327">
        <v>24.32</v>
      </c>
      <c r="I327">
        <v>5130</v>
      </c>
      <c r="J327" t="s">
        <v>14</v>
      </c>
    </row>
    <row r="328" spans="1:10" x14ac:dyDescent="0.35">
      <c r="A328" t="s">
        <v>54</v>
      </c>
      <c r="B328" t="s">
        <v>55</v>
      </c>
      <c r="C328" t="s">
        <v>80</v>
      </c>
      <c r="D328">
        <v>2019</v>
      </c>
      <c r="E328">
        <v>99</v>
      </c>
      <c r="F328">
        <v>94</v>
      </c>
      <c r="G328">
        <v>1.5199549999999999</v>
      </c>
      <c r="H328">
        <v>23.85</v>
      </c>
      <c r="I328">
        <v>5130</v>
      </c>
      <c r="J328">
        <v>3.52</v>
      </c>
    </row>
    <row r="329" spans="1:10" x14ac:dyDescent="0.35">
      <c r="A329" t="s">
        <v>54</v>
      </c>
      <c r="B329" t="s">
        <v>55</v>
      </c>
      <c r="C329" t="s">
        <v>80</v>
      </c>
      <c r="D329">
        <v>2020</v>
      </c>
      <c r="E329">
        <v>99</v>
      </c>
      <c r="F329">
        <v>94</v>
      </c>
      <c r="G329">
        <v>1.5181469999999999</v>
      </c>
      <c r="H329">
        <v>21.06</v>
      </c>
      <c r="I329">
        <v>5130</v>
      </c>
      <c r="J329">
        <v>4.21</v>
      </c>
    </row>
    <row r="330" spans="1:10" x14ac:dyDescent="0.35">
      <c r="A330" t="s">
        <v>54</v>
      </c>
      <c r="B330" t="s">
        <v>55</v>
      </c>
      <c r="C330" t="s">
        <v>81</v>
      </c>
      <c r="D330">
        <v>2015</v>
      </c>
      <c r="E330">
        <v>94</v>
      </c>
      <c r="F330">
        <v>88</v>
      </c>
      <c r="G330">
        <v>3.6538000000000001E-2</v>
      </c>
      <c r="H330">
        <v>0.94</v>
      </c>
      <c r="I330">
        <v>950</v>
      </c>
      <c r="J330" t="s">
        <v>14</v>
      </c>
    </row>
    <row r="331" spans="1:10" x14ac:dyDescent="0.35">
      <c r="A331" t="s">
        <v>54</v>
      </c>
      <c r="B331" t="s">
        <v>55</v>
      </c>
      <c r="C331" t="s">
        <v>81</v>
      </c>
      <c r="D331">
        <v>2016</v>
      </c>
      <c r="E331">
        <v>94</v>
      </c>
      <c r="F331">
        <v>88</v>
      </c>
      <c r="G331">
        <v>3.8246000000000002E-2</v>
      </c>
      <c r="H331">
        <v>1.03</v>
      </c>
      <c r="I331">
        <v>950</v>
      </c>
      <c r="J331" t="s">
        <v>14</v>
      </c>
    </row>
    <row r="332" spans="1:10" x14ac:dyDescent="0.35">
      <c r="A332" t="s">
        <v>54</v>
      </c>
      <c r="B332" t="s">
        <v>55</v>
      </c>
      <c r="C332" t="s">
        <v>81</v>
      </c>
      <c r="D332">
        <v>2017</v>
      </c>
      <c r="E332">
        <v>94</v>
      </c>
      <c r="F332">
        <v>88</v>
      </c>
      <c r="G332">
        <v>3.9843999999999997E-2</v>
      </c>
      <c r="H332">
        <v>1.02</v>
      </c>
      <c r="I332">
        <v>950</v>
      </c>
      <c r="J332" t="s">
        <v>14</v>
      </c>
    </row>
    <row r="333" spans="1:10" x14ac:dyDescent="0.35">
      <c r="A333" t="s">
        <v>54</v>
      </c>
      <c r="B333" t="s">
        <v>55</v>
      </c>
      <c r="C333" t="s">
        <v>81</v>
      </c>
      <c r="D333">
        <v>2018</v>
      </c>
      <c r="E333">
        <v>94</v>
      </c>
      <c r="F333">
        <v>88</v>
      </c>
      <c r="G333">
        <v>4.1487000000000003E-2</v>
      </c>
      <c r="H333">
        <v>1.1100000000000001</v>
      </c>
      <c r="I333">
        <v>950</v>
      </c>
      <c r="J333" t="s">
        <v>14</v>
      </c>
    </row>
    <row r="334" spans="1:10" x14ac:dyDescent="0.35">
      <c r="A334" t="s">
        <v>54</v>
      </c>
      <c r="B334" t="s">
        <v>55</v>
      </c>
      <c r="C334" t="s">
        <v>82</v>
      </c>
      <c r="D334">
        <v>2015</v>
      </c>
      <c r="E334">
        <v>99</v>
      </c>
      <c r="F334">
        <v>99</v>
      </c>
      <c r="G334" t="s">
        <v>14</v>
      </c>
      <c r="H334" t="s">
        <v>14</v>
      </c>
      <c r="I334" t="s">
        <v>14</v>
      </c>
      <c r="J334" t="s">
        <v>14</v>
      </c>
    </row>
    <row r="335" spans="1:10" x14ac:dyDescent="0.35">
      <c r="A335" t="s">
        <v>54</v>
      </c>
      <c r="B335" t="s">
        <v>55</v>
      </c>
      <c r="C335" t="s">
        <v>82</v>
      </c>
      <c r="D335">
        <v>2016</v>
      </c>
      <c r="E335">
        <v>99</v>
      </c>
      <c r="F335">
        <v>99</v>
      </c>
      <c r="G335" t="s">
        <v>14</v>
      </c>
      <c r="H335" t="s">
        <v>14</v>
      </c>
      <c r="I335" t="s">
        <v>14</v>
      </c>
      <c r="J335" t="s">
        <v>14</v>
      </c>
    </row>
    <row r="336" spans="1:10" x14ac:dyDescent="0.35">
      <c r="A336" t="s">
        <v>54</v>
      </c>
      <c r="B336" t="s">
        <v>55</v>
      </c>
      <c r="C336" t="s">
        <v>82</v>
      </c>
      <c r="D336">
        <v>2017</v>
      </c>
      <c r="E336">
        <v>99</v>
      </c>
      <c r="F336">
        <v>99</v>
      </c>
      <c r="G336" t="s">
        <v>14</v>
      </c>
      <c r="H336" t="s">
        <v>14</v>
      </c>
      <c r="I336" t="s">
        <v>14</v>
      </c>
      <c r="J336" t="s">
        <v>14</v>
      </c>
    </row>
    <row r="337" spans="1:10" x14ac:dyDescent="0.35">
      <c r="A337" t="s">
        <v>54</v>
      </c>
      <c r="B337" t="s">
        <v>55</v>
      </c>
      <c r="C337" t="s">
        <v>82</v>
      </c>
      <c r="D337">
        <v>2018</v>
      </c>
      <c r="E337">
        <v>99</v>
      </c>
      <c r="F337">
        <v>99</v>
      </c>
      <c r="G337" t="s">
        <v>14</v>
      </c>
      <c r="H337" t="s">
        <v>14</v>
      </c>
      <c r="I337" t="s">
        <v>14</v>
      </c>
      <c r="J337" t="s">
        <v>14</v>
      </c>
    </row>
    <row r="338" spans="1:10" x14ac:dyDescent="0.35">
      <c r="A338" t="s">
        <v>54</v>
      </c>
      <c r="B338" t="s">
        <v>55</v>
      </c>
      <c r="C338" t="s">
        <v>82</v>
      </c>
      <c r="D338">
        <v>2019</v>
      </c>
      <c r="E338">
        <v>99</v>
      </c>
      <c r="F338">
        <v>99</v>
      </c>
      <c r="G338" t="s">
        <v>14</v>
      </c>
      <c r="H338" t="s">
        <v>14</v>
      </c>
      <c r="I338" t="s">
        <v>14</v>
      </c>
      <c r="J338" t="s">
        <v>14</v>
      </c>
    </row>
    <row r="339" spans="1:10" x14ac:dyDescent="0.35">
      <c r="A339" t="s">
        <v>54</v>
      </c>
      <c r="B339" t="s">
        <v>55</v>
      </c>
      <c r="C339" t="s">
        <v>82</v>
      </c>
      <c r="D339">
        <v>2020</v>
      </c>
      <c r="E339">
        <v>99</v>
      </c>
      <c r="F339">
        <v>99</v>
      </c>
      <c r="G339" t="s">
        <v>14</v>
      </c>
      <c r="H339" t="s">
        <v>14</v>
      </c>
      <c r="I339" t="s">
        <v>14</v>
      </c>
      <c r="J339" t="s">
        <v>14</v>
      </c>
    </row>
    <row r="340" spans="1:10" x14ac:dyDescent="0.35">
      <c r="A340" t="s">
        <v>54</v>
      </c>
      <c r="B340" t="s">
        <v>83</v>
      </c>
      <c r="C340" t="s">
        <v>84</v>
      </c>
      <c r="D340">
        <v>2015</v>
      </c>
      <c r="E340">
        <v>97.33</v>
      </c>
      <c r="F340">
        <v>87.33</v>
      </c>
      <c r="G340">
        <v>0.359871</v>
      </c>
      <c r="H340">
        <v>2.21</v>
      </c>
      <c r="I340">
        <v>22810</v>
      </c>
      <c r="J340">
        <v>7.58</v>
      </c>
    </row>
    <row r="341" spans="1:10" x14ac:dyDescent="0.35">
      <c r="A341" t="s">
        <v>54</v>
      </c>
      <c r="B341" t="s">
        <v>83</v>
      </c>
      <c r="C341" t="s">
        <v>84</v>
      </c>
      <c r="D341">
        <v>2016</v>
      </c>
      <c r="E341">
        <v>97.67</v>
      </c>
      <c r="F341">
        <v>88</v>
      </c>
      <c r="G341">
        <v>0.367313</v>
      </c>
      <c r="H341">
        <v>2.2599999999999998</v>
      </c>
      <c r="I341">
        <v>22810</v>
      </c>
      <c r="J341">
        <v>7</v>
      </c>
    </row>
    <row r="342" spans="1:10" x14ac:dyDescent="0.35">
      <c r="A342" t="s">
        <v>54</v>
      </c>
      <c r="B342" t="s">
        <v>83</v>
      </c>
      <c r="C342" t="s">
        <v>84</v>
      </c>
      <c r="D342">
        <v>2017</v>
      </c>
      <c r="E342">
        <v>98</v>
      </c>
      <c r="F342">
        <v>88</v>
      </c>
      <c r="G342">
        <v>0.374693</v>
      </c>
      <c r="H342">
        <v>2.29</v>
      </c>
      <c r="I342">
        <v>22810</v>
      </c>
      <c r="J342">
        <v>6.6</v>
      </c>
    </row>
    <row r="343" spans="1:10" x14ac:dyDescent="0.35">
      <c r="A343" t="s">
        <v>54</v>
      </c>
      <c r="B343" t="s">
        <v>83</v>
      </c>
      <c r="C343" t="s">
        <v>84</v>
      </c>
      <c r="D343">
        <v>2018</v>
      </c>
      <c r="E343">
        <v>98.33</v>
      </c>
      <c r="F343">
        <v>88.67</v>
      </c>
      <c r="G343">
        <v>0.38206600000000002</v>
      </c>
      <c r="H343">
        <v>2.31</v>
      </c>
      <c r="I343">
        <v>22810</v>
      </c>
      <c r="J343" t="s">
        <v>14</v>
      </c>
    </row>
    <row r="344" spans="1:10" x14ac:dyDescent="0.35">
      <c r="A344" t="s">
        <v>54</v>
      </c>
      <c r="B344" t="s">
        <v>83</v>
      </c>
      <c r="C344" t="s">
        <v>84</v>
      </c>
      <c r="D344">
        <v>2019</v>
      </c>
      <c r="E344">
        <v>98.33</v>
      </c>
      <c r="F344">
        <v>88.67</v>
      </c>
      <c r="G344">
        <v>0.38909500000000002</v>
      </c>
      <c r="H344">
        <v>2.42</v>
      </c>
      <c r="I344">
        <v>22810</v>
      </c>
      <c r="J344">
        <v>9.0500000000000007</v>
      </c>
    </row>
    <row r="345" spans="1:10" x14ac:dyDescent="0.35">
      <c r="A345" t="s">
        <v>54</v>
      </c>
      <c r="B345" t="s">
        <v>83</v>
      </c>
      <c r="C345" t="s">
        <v>84</v>
      </c>
      <c r="D345">
        <v>2020</v>
      </c>
      <c r="E345">
        <v>98.33</v>
      </c>
      <c r="F345">
        <v>88.67</v>
      </c>
      <c r="G345">
        <v>0.39492100000000002</v>
      </c>
      <c r="H345">
        <v>2.08</v>
      </c>
      <c r="I345">
        <v>22810</v>
      </c>
      <c r="J345" t="s">
        <v>14</v>
      </c>
    </row>
    <row r="346" spans="1:10" x14ac:dyDescent="0.35">
      <c r="A346" t="s">
        <v>54</v>
      </c>
      <c r="B346" t="s">
        <v>83</v>
      </c>
      <c r="C346" t="s">
        <v>85</v>
      </c>
      <c r="D346">
        <v>2015</v>
      </c>
      <c r="E346">
        <v>99</v>
      </c>
      <c r="F346">
        <v>96.33</v>
      </c>
      <c r="G346">
        <v>4.8952419999999996</v>
      </c>
      <c r="H346">
        <v>56.44</v>
      </c>
      <c r="I346">
        <v>51060</v>
      </c>
      <c r="J346">
        <v>8.42</v>
      </c>
    </row>
    <row r="347" spans="1:10" x14ac:dyDescent="0.35">
      <c r="A347" t="s">
        <v>54</v>
      </c>
      <c r="B347" t="s">
        <v>83</v>
      </c>
      <c r="C347" t="s">
        <v>85</v>
      </c>
      <c r="D347">
        <v>2016</v>
      </c>
      <c r="E347">
        <v>99.67</v>
      </c>
      <c r="F347">
        <v>96.67</v>
      </c>
      <c r="G347">
        <v>4.9452049999999996</v>
      </c>
      <c r="H347">
        <v>58.85</v>
      </c>
      <c r="I347">
        <v>51060</v>
      </c>
      <c r="J347">
        <v>8.09</v>
      </c>
    </row>
    <row r="348" spans="1:10" x14ac:dyDescent="0.35">
      <c r="A348" t="s">
        <v>54</v>
      </c>
      <c r="B348" t="s">
        <v>83</v>
      </c>
      <c r="C348" t="s">
        <v>85</v>
      </c>
      <c r="D348">
        <v>2017</v>
      </c>
      <c r="E348">
        <v>100</v>
      </c>
      <c r="F348">
        <v>96.67</v>
      </c>
      <c r="G348">
        <v>4.9938419999999999</v>
      </c>
      <c r="H348">
        <v>60.52</v>
      </c>
      <c r="I348">
        <v>51060</v>
      </c>
      <c r="J348">
        <v>7.73</v>
      </c>
    </row>
    <row r="349" spans="1:10" x14ac:dyDescent="0.35">
      <c r="A349" t="s">
        <v>54</v>
      </c>
      <c r="B349" t="s">
        <v>83</v>
      </c>
      <c r="C349" t="s">
        <v>85</v>
      </c>
      <c r="D349">
        <v>2018</v>
      </c>
      <c r="E349">
        <v>100</v>
      </c>
      <c r="F349">
        <v>97.33</v>
      </c>
      <c r="G349">
        <v>5.0407339999999996</v>
      </c>
      <c r="H349">
        <v>62.42</v>
      </c>
      <c r="I349">
        <v>51060</v>
      </c>
      <c r="J349">
        <v>9.01</v>
      </c>
    </row>
    <row r="350" spans="1:10" x14ac:dyDescent="0.35">
      <c r="A350" t="s">
        <v>54</v>
      </c>
      <c r="B350" t="s">
        <v>83</v>
      </c>
      <c r="C350" t="s">
        <v>85</v>
      </c>
      <c r="D350">
        <v>2019</v>
      </c>
      <c r="E350">
        <v>100</v>
      </c>
      <c r="F350">
        <v>97.33</v>
      </c>
      <c r="G350">
        <v>5.0845320000000003</v>
      </c>
      <c r="H350">
        <v>64.42</v>
      </c>
      <c r="I350">
        <v>51060</v>
      </c>
      <c r="J350">
        <v>10.81</v>
      </c>
    </row>
    <row r="351" spans="1:10" x14ac:dyDescent="0.35">
      <c r="A351" t="s">
        <v>54</v>
      </c>
      <c r="B351" t="s">
        <v>83</v>
      </c>
      <c r="C351" t="s">
        <v>85</v>
      </c>
      <c r="D351">
        <v>2020</v>
      </c>
      <c r="E351">
        <v>100</v>
      </c>
      <c r="F351">
        <v>97.67</v>
      </c>
      <c r="G351">
        <v>5.1231049999999998</v>
      </c>
      <c r="H351">
        <v>62.16</v>
      </c>
      <c r="I351">
        <v>51060</v>
      </c>
      <c r="J351">
        <v>16.43</v>
      </c>
    </row>
    <row r="352" spans="1:10" x14ac:dyDescent="0.35">
      <c r="A352" t="s">
        <v>54</v>
      </c>
      <c r="B352" t="s">
        <v>83</v>
      </c>
      <c r="C352" t="s">
        <v>86</v>
      </c>
      <c r="D352">
        <v>2015</v>
      </c>
      <c r="E352">
        <v>94.33</v>
      </c>
      <c r="F352">
        <v>81</v>
      </c>
      <c r="G352">
        <v>6.2310660000000002</v>
      </c>
      <c r="H352">
        <v>23.44</v>
      </c>
      <c r="I352">
        <v>20720</v>
      </c>
      <c r="J352">
        <v>4</v>
      </c>
    </row>
    <row r="353" spans="1:10" x14ac:dyDescent="0.35">
      <c r="A353" t="s">
        <v>54</v>
      </c>
      <c r="B353" t="s">
        <v>83</v>
      </c>
      <c r="C353" t="s">
        <v>86</v>
      </c>
      <c r="D353">
        <v>2016</v>
      </c>
      <c r="E353">
        <v>95.33</v>
      </c>
      <c r="F353">
        <v>81</v>
      </c>
      <c r="G353">
        <v>6.2505100000000002</v>
      </c>
      <c r="H353">
        <v>24.19</v>
      </c>
      <c r="I353">
        <v>20720</v>
      </c>
      <c r="J353">
        <v>4.42</v>
      </c>
    </row>
    <row r="354" spans="1:10" x14ac:dyDescent="0.35">
      <c r="A354" t="s">
        <v>54</v>
      </c>
      <c r="B354" t="s">
        <v>83</v>
      </c>
      <c r="C354" t="s">
        <v>86</v>
      </c>
      <c r="D354">
        <v>2017</v>
      </c>
      <c r="E354">
        <v>96</v>
      </c>
      <c r="F354">
        <v>80.67</v>
      </c>
      <c r="G354">
        <v>6.2666539999999999</v>
      </c>
      <c r="H354">
        <v>24.98</v>
      </c>
      <c r="I354">
        <v>20720</v>
      </c>
      <c r="J354">
        <v>4.3899999999999997</v>
      </c>
    </row>
    <row r="355" spans="1:10" x14ac:dyDescent="0.35">
      <c r="A355" t="s">
        <v>54</v>
      </c>
      <c r="B355" t="s">
        <v>83</v>
      </c>
      <c r="C355" t="s">
        <v>86</v>
      </c>
      <c r="D355">
        <v>2018</v>
      </c>
      <c r="E355">
        <v>97</v>
      </c>
      <c r="F355">
        <v>80.33</v>
      </c>
      <c r="G355">
        <v>6.2763419999999996</v>
      </c>
      <c r="H355">
        <v>26.02</v>
      </c>
      <c r="I355">
        <v>20720</v>
      </c>
      <c r="J355">
        <v>4.01</v>
      </c>
    </row>
    <row r="356" spans="1:10" x14ac:dyDescent="0.35">
      <c r="A356" t="s">
        <v>54</v>
      </c>
      <c r="B356" t="s">
        <v>83</v>
      </c>
      <c r="C356" t="s">
        <v>86</v>
      </c>
      <c r="D356">
        <v>2019</v>
      </c>
      <c r="E356">
        <v>97</v>
      </c>
      <c r="F356">
        <v>80.33</v>
      </c>
      <c r="G356">
        <v>6.2802170000000004</v>
      </c>
      <c r="H356">
        <v>26.88</v>
      </c>
      <c r="I356">
        <v>20720</v>
      </c>
      <c r="J356">
        <v>4.17</v>
      </c>
    </row>
    <row r="357" spans="1:10" x14ac:dyDescent="0.35">
      <c r="A357" t="s">
        <v>54</v>
      </c>
      <c r="B357" t="s">
        <v>83</v>
      </c>
      <c r="C357" t="s">
        <v>86</v>
      </c>
      <c r="D357">
        <v>2020</v>
      </c>
      <c r="E357">
        <v>97</v>
      </c>
      <c r="F357">
        <v>79.67</v>
      </c>
      <c r="G357">
        <v>6.2927309999999999</v>
      </c>
      <c r="H357">
        <v>24.56</v>
      </c>
      <c r="I357">
        <v>20720</v>
      </c>
      <c r="J357">
        <v>5.01</v>
      </c>
    </row>
    <row r="358" spans="1:10" x14ac:dyDescent="0.35">
      <c r="A358" t="s">
        <v>54</v>
      </c>
      <c r="B358" t="s">
        <v>83</v>
      </c>
      <c r="C358" t="s">
        <v>87</v>
      </c>
      <c r="D358">
        <v>2015</v>
      </c>
      <c r="E358">
        <v>92</v>
      </c>
      <c r="F358">
        <v>67</v>
      </c>
      <c r="G358">
        <v>15.567418999999999</v>
      </c>
      <c r="H358">
        <v>62.19</v>
      </c>
      <c r="I358">
        <v>107160</v>
      </c>
      <c r="J358">
        <v>2.5099999999999998</v>
      </c>
    </row>
    <row r="359" spans="1:10" x14ac:dyDescent="0.35">
      <c r="A359" t="s">
        <v>54</v>
      </c>
      <c r="B359" t="s">
        <v>83</v>
      </c>
      <c r="C359" t="s">
        <v>87</v>
      </c>
      <c r="D359">
        <v>2016</v>
      </c>
      <c r="E359">
        <v>92.33</v>
      </c>
      <c r="F359">
        <v>67</v>
      </c>
      <c r="G359">
        <v>15.82769</v>
      </c>
      <c r="H359">
        <v>66.05</v>
      </c>
      <c r="I359">
        <v>107160</v>
      </c>
      <c r="J359">
        <v>2.58</v>
      </c>
    </row>
    <row r="360" spans="1:10" x14ac:dyDescent="0.35">
      <c r="A360" t="s">
        <v>54</v>
      </c>
      <c r="B360" t="s">
        <v>83</v>
      </c>
      <c r="C360" t="s">
        <v>87</v>
      </c>
      <c r="D360">
        <v>2017</v>
      </c>
      <c r="E360">
        <v>92.67</v>
      </c>
      <c r="F360">
        <v>67</v>
      </c>
      <c r="G360">
        <v>16.087418</v>
      </c>
      <c r="H360">
        <v>71.650000000000006</v>
      </c>
      <c r="I360">
        <v>107160</v>
      </c>
      <c r="J360">
        <v>2.46</v>
      </c>
    </row>
    <row r="361" spans="1:10" x14ac:dyDescent="0.35">
      <c r="A361" t="s">
        <v>54</v>
      </c>
      <c r="B361" t="s">
        <v>83</v>
      </c>
      <c r="C361" t="s">
        <v>87</v>
      </c>
      <c r="D361">
        <v>2018</v>
      </c>
      <c r="E361">
        <v>93</v>
      </c>
      <c r="F361">
        <v>67.33</v>
      </c>
      <c r="G361">
        <v>16.34695</v>
      </c>
      <c r="H361">
        <v>73.33</v>
      </c>
      <c r="I361">
        <v>107160</v>
      </c>
      <c r="J361">
        <v>2.2799999999999998</v>
      </c>
    </row>
    <row r="362" spans="1:10" x14ac:dyDescent="0.35">
      <c r="A362" t="s">
        <v>54</v>
      </c>
      <c r="B362" t="s">
        <v>83</v>
      </c>
      <c r="C362" t="s">
        <v>87</v>
      </c>
      <c r="D362">
        <v>2019</v>
      </c>
      <c r="E362">
        <v>94</v>
      </c>
      <c r="F362">
        <v>67.67</v>
      </c>
      <c r="G362">
        <v>16.604026000000001</v>
      </c>
      <c r="H362">
        <v>77.17</v>
      </c>
      <c r="I362">
        <v>107160</v>
      </c>
      <c r="J362">
        <v>2.19</v>
      </c>
    </row>
    <row r="363" spans="1:10" x14ac:dyDescent="0.35">
      <c r="A363" t="s">
        <v>54</v>
      </c>
      <c r="B363" t="s">
        <v>83</v>
      </c>
      <c r="C363" t="s">
        <v>87</v>
      </c>
      <c r="D363">
        <v>2020</v>
      </c>
      <c r="E363">
        <v>94</v>
      </c>
      <c r="F363">
        <v>67.67</v>
      </c>
      <c r="G363">
        <v>16.858332999999998</v>
      </c>
      <c r="H363">
        <v>77.63</v>
      </c>
      <c r="I363">
        <v>107160</v>
      </c>
      <c r="J363" t="s">
        <v>14</v>
      </c>
    </row>
    <row r="364" spans="1:10" x14ac:dyDescent="0.35">
      <c r="A364" t="s">
        <v>54</v>
      </c>
      <c r="B364" t="s">
        <v>83</v>
      </c>
      <c r="C364" t="s">
        <v>88</v>
      </c>
      <c r="D364">
        <v>2015</v>
      </c>
      <c r="E364">
        <v>92.67</v>
      </c>
      <c r="F364">
        <v>78.67</v>
      </c>
      <c r="G364">
        <v>9.2945049999999991</v>
      </c>
      <c r="H364">
        <v>20.98</v>
      </c>
      <c r="I364">
        <v>111890</v>
      </c>
      <c r="J364">
        <v>6.15</v>
      </c>
    </row>
    <row r="365" spans="1:10" x14ac:dyDescent="0.35">
      <c r="A365" t="s">
        <v>54</v>
      </c>
      <c r="B365" t="s">
        <v>83</v>
      </c>
      <c r="C365" t="s">
        <v>88</v>
      </c>
      <c r="D365">
        <v>2016</v>
      </c>
      <c r="E365">
        <v>93.33</v>
      </c>
      <c r="F365">
        <v>79.67</v>
      </c>
      <c r="G365">
        <v>9.4607980000000005</v>
      </c>
      <c r="H365">
        <v>21.72</v>
      </c>
      <c r="I365">
        <v>111890</v>
      </c>
      <c r="J365">
        <v>6.73</v>
      </c>
    </row>
    <row r="366" spans="1:10" x14ac:dyDescent="0.35">
      <c r="A366" t="s">
        <v>54</v>
      </c>
      <c r="B366" t="s">
        <v>83</v>
      </c>
      <c r="C366" t="s">
        <v>88</v>
      </c>
      <c r="D366">
        <v>2017</v>
      </c>
      <c r="E366">
        <v>93.67</v>
      </c>
      <c r="F366">
        <v>80.67</v>
      </c>
      <c r="G366">
        <v>9.6268419999999999</v>
      </c>
      <c r="H366">
        <v>23.14</v>
      </c>
      <c r="I366">
        <v>111890</v>
      </c>
      <c r="J366">
        <v>5.53</v>
      </c>
    </row>
    <row r="367" spans="1:10" x14ac:dyDescent="0.35">
      <c r="A367" t="s">
        <v>54</v>
      </c>
      <c r="B367" t="s">
        <v>83</v>
      </c>
      <c r="C367" t="s">
        <v>88</v>
      </c>
      <c r="D367">
        <v>2018</v>
      </c>
      <c r="E367">
        <v>94.33</v>
      </c>
      <c r="F367">
        <v>81.67</v>
      </c>
      <c r="G367">
        <v>9.7928499999999996</v>
      </c>
      <c r="H367">
        <v>24.07</v>
      </c>
      <c r="I367">
        <v>111890</v>
      </c>
      <c r="J367">
        <v>5.62</v>
      </c>
    </row>
    <row r="368" spans="1:10" x14ac:dyDescent="0.35">
      <c r="A368" t="s">
        <v>54</v>
      </c>
      <c r="B368" t="s">
        <v>83</v>
      </c>
      <c r="C368" t="s">
        <v>88</v>
      </c>
      <c r="D368">
        <v>2019</v>
      </c>
      <c r="E368">
        <v>94.67</v>
      </c>
      <c r="F368">
        <v>82.67</v>
      </c>
      <c r="G368">
        <v>9.9588289999999997</v>
      </c>
      <c r="H368">
        <v>25.09</v>
      </c>
      <c r="I368">
        <v>111890</v>
      </c>
      <c r="J368">
        <v>5.55</v>
      </c>
    </row>
    <row r="369" spans="1:10" x14ac:dyDescent="0.35">
      <c r="A369" t="s">
        <v>54</v>
      </c>
      <c r="B369" t="s">
        <v>83</v>
      </c>
      <c r="C369" t="s">
        <v>88</v>
      </c>
      <c r="D369">
        <v>2020</v>
      </c>
      <c r="E369">
        <v>95.33</v>
      </c>
      <c r="F369">
        <v>83.33</v>
      </c>
      <c r="G369">
        <v>10.121763</v>
      </c>
      <c r="H369">
        <v>23.83</v>
      </c>
      <c r="I369">
        <v>111890</v>
      </c>
      <c r="J369">
        <v>10.68</v>
      </c>
    </row>
    <row r="370" spans="1:10" x14ac:dyDescent="0.35">
      <c r="A370" t="s">
        <v>54</v>
      </c>
      <c r="B370" t="s">
        <v>83</v>
      </c>
      <c r="C370" t="s">
        <v>89</v>
      </c>
      <c r="D370">
        <v>2015</v>
      </c>
      <c r="E370">
        <v>96.67</v>
      </c>
      <c r="F370">
        <v>86.33</v>
      </c>
      <c r="G370">
        <v>120.149897</v>
      </c>
      <c r="H370">
        <v>1171.8699999999999</v>
      </c>
      <c r="I370">
        <v>1943950</v>
      </c>
      <c r="J370">
        <v>4.3099999999999996</v>
      </c>
    </row>
    <row r="371" spans="1:10" x14ac:dyDescent="0.35">
      <c r="A371" t="s">
        <v>54</v>
      </c>
      <c r="B371" t="s">
        <v>83</v>
      </c>
      <c r="C371" t="s">
        <v>89</v>
      </c>
      <c r="D371">
        <v>2016</v>
      </c>
      <c r="E371">
        <v>97.33</v>
      </c>
      <c r="F371">
        <v>87.33</v>
      </c>
      <c r="G371">
        <v>121.519221</v>
      </c>
      <c r="H371">
        <v>1078.49</v>
      </c>
      <c r="I371">
        <v>1943950</v>
      </c>
      <c r="J371">
        <v>3.85</v>
      </c>
    </row>
    <row r="372" spans="1:10" x14ac:dyDescent="0.35">
      <c r="A372" t="s">
        <v>54</v>
      </c>
      <c r="B372" t="s">
        <v>83</v>
      </c>
      <c r="C372" t="s">
        <v>89</v>
      </c>
      <c r="D372">
        <v>2017</v>
      </c>
      <c r="E372">
        <v>98</v>
      </c>
      <c r="F372">
        <v>88</v>
      </c>
      <c r="G372">
        <v>122.839258</v>
      </c>
      <c r="H372">
        <v>1158.9100000000001</v>
      </c>
      <c r="I372">
        <v>1943950</v>
      </c>
      <c r="J372">
        <v>3.42</v>
      </c>
    </row>
    <row r="373" spans="1:10" x14ac:dyDescent="0.35">
      <c r="A373" t="s">
        <v>54</v>
      </c>
      <c r="B373" t="s">
        <v>83</v>
      </c>
      <c r="C373" t="s">
        <v>89</v>
      </c>
      <c r="D373">
        <v>2018</v>
      </c>
      <c r="E373">
        <v>98.33</v>
      </c>
      <c r="F373">
        <v>89</v>
      </c>
      <c r="G373">
        <v>124.01386100000001</v>
      </c>
      <c r="H373">
        <v>1222.4100000000001</v>
      </c>
      <c r="I373">
        <v>1943950</v>
      </c>
      <c r="J373">
        <v>3.27</v>
      </c>
    </row>
    <row r="374" spans="1:10" x14ac:dyDescent="0.35">
      <c r="A374" t="s">
        <v>54</v>
      </c>
      <c r="B374" t="s">
        <v>83</v>
      </c>
      <c r="C374" t="s">
        <v>89</v>
      </c>
      <c r="D374">
        <v>2019</v>
      </c>
      <c r="E374">
        <v>98.67</v>
      </c>
      <c r="F374">
        <v>90</v>
      </c>
      <c r="G374">
        <v>125.085311</v>
      </c>
      <c r="H374">
        <v>1269.01</v>
      </c>
      <c r="I374">
        <v>1943950</v>
      </c>
      <c r="J374">
        <v>3.48</v>
      </c>
    </row>
    <row r="375" spans="1:10" x14ac:dyDescent="0.35">
      <c r="A375" t="s">
        <v>54</v>
      </c>
      <c r="B375" t="s">
        <v>83</v>
      </c>
      <c r="C375" t="s">
        <v>89</v>
      </c>
      <c r="D375">
        <v>2020</v>
      </c>
      <c r="E375">
        <v>99.33</v>
      </c>
      <c r="F375">
        <v>90.67</v>
      </c>
      <c r="G375">
        <v>125.998302</v>
      </c>
      <c r="H375">
        <v>1090.52</v>
      </c>
      <c r="I375">
        <v>1943950</v>
      </c>
      <c r="J375">
        <v>4.4400000000000004</v>
      </c>
    </row>
    <row r="376" spans="1:10" x14ac:dyDescent="0.35">
      <c r="A376" t="s">
        <v>54</v>
      </c>
      <c r="B376" t="s">
        <v>83</v>
      </c>
      <c r="C376" t="s">
        <v>90</v>
      </c>
      <c r="D376">
        <v>2015</v>
      </c>
      <c r="E376">
        <v>79.33</v>
      </c>
      <c r="F376">
        <v>71</v>
      </c>
      <c r="G376">
        <v>6.2985980000000001</v>
      </c>
      <c r="H376">
        <v>12.76</v>
      </c>
      <c r="I376">
        <v>120340</v>
      </c>
      <c r="J376">
        <v>4.7</v>
      </c>
    </row>
    <row r="377" spans="1:10" x14ac:dyDescent="0.35">
      <c r="A377" t="s">
        <v>54</v>
      </c>
      <c r="B377" t="s">
        <v>83</v>
      </c>
      <c r="C377" t="s">
        <v>90</v>
      </c>
      <c r="D377">
        <v>2016</v>
      </c>
      <c r="E377">
        <v>79</v>
      </c>
      <c r="F377">
        <v>71.67</v>
      </c>
      <c r="G377">
        <v>6.3892350000000002</v>
      </c>
      <c r="H377">
        <v>13.29</v>
      </c>
      <c r="I377">
        <v>120340</v>
      </c>
      <c r="J377">
        <v>3.9</v>
      </c>
    </row>
    <row r="378" spans="1:10" x14ac:dyDescent="0.35">
      <c r="A378" t="s">
        <v>54</v>
      </c>
      <c r="B378" t="s">
        <v>83</v>
      </c>
      <c r="C378" t="s">
        <v>90</v>
      </c>
      <c r="D378">
        <v>2017</v>
      </c>
      <c r="E378">
        <v>79</v>
      </c>
      <c r="F378">
        <v>71.67</v>
      </c>
      <c r="G378">
        <v>6.4805320000000002</v>
      </c>
      <c r="H378">
        <v>13.79</v>
      </c>
      <c r="I378">
        <v>120340</v>
      </c>
      <c r="J378">
        <v>3.3</v>
      </c>
    </row>
    <row r="379" spans="1:10" x14ac:dyDescent="0.35">
      <c r="A379" t="s">
        <v>54</v>
      </c>
      <c r="B379" t="s">
        <v>83</v>
      </c>
      <c r="C379" t="s">
        <v>90</v>
      </c>
      <c r="D379">
        <v>2018</v>
      </c>
      <c r="E379">
        <v>79.33</v>
      </c>
      <c r="F379">
        <v>71.67</v>
      </c>
      <c r="G379">
        <v>6.5722329999999998</v>
      </c>
      <c r="H379">
        <v>13.03</v>
      </c>
      <c r="I379">
        <v>120340</v>
      </c>
      <c r="J379">
        <v>5.2</v>
      </c>
    </row>
    <row r="380" spans="1:10" x14ac:dyDescent="0.35">
      <c r="A380" t="s">
        <v>54</v>
      </c>
      <c r="B380" t="s">
        <v>83</v>
      </c>
      <c r="C380" t="s">
        <v>90</v>
      </c>
      <c r="D380">
        <v>2019</v>
      </c>
      <c r="E380">
        <v>79.33</v>
      </c>
      <c r="F380">
        <v>71.67</v>
      </c>
      <c r="G380">
        <v>6.6639239999999997</v>
      </c>
      <c r="H380">
        <v>12.6</v>
      </c>
      <c r="I380">
        <v>120340</v>
      </c>
      <c r="J380" t="s">
        <v>14</v>
      </c>
    </row>
    <row r="381" spans="1:10" x14ac:dyDescent="0.35">
      <c r="A381" t="s">
        <v>54</v>
      </c>
      <c r="B381" t="s">
        <v>83</v>
      </c>
      <c r="C381" t="s">
        <v>90</v>
      </c>
      <c r="D381">
        <v>2020</v>
      </c>
      <c r="E381">
        <v>79.33</v>
      </c>
      <c r="F381">
        <v>71.67</v>
      </c>
      <c r="G381">
        <v>6.7558949999999998</v>
      </c>
      <c r="H381">
        <v>12.59</v>
      </c>
      <c r="I381">
        <v>120340</v>
      </c>
      <c r="J381" t="s">
        <v>14</v>
      </c>
    </row>
    <row r="382" spans="1:10" x14ac:dyDescent="0.35">
      <c r="A382" t="s">
        <v>54</v>
      </c>
      <c r="B382" t="s">
        <v>83</v>
      </c>
      <c r="C382" t="s">
        <v>91</v>
      </c>
      <c r="D382">
        <v>2015</v>
      </c>
      <c r="E382">
        <v>91.67</v>
      </c>
      <c r="F382">
        <v>75.67</v>
      </c>
      <c r="G382">
        <v>3.9570989999999999</v>
      </c>
      <c r="H382">
        <v>54.09</v>
      </c>
      <c r="I382">
        <v>74120</v>
      </c>
      <c r="J382">
        <v>4.4000000000000004</v>
      </c>
    </row>
    <row r="383" spans="1:10" x14ac:dyDescent="0.35">
      <c r="A383" t="s">
        <v>54</v>
      </c>
      <c r="B383" t="s">
        <v>83</v>
      </c>
      <c r="C383" t="s">
        <v>91</v>
      </c>
      <c r="D383">
        <v>2016</v>
      </c>
      <c r="E383">
        <v>91.67</v>
      </c>
      <c r="F383">
        <v>76.67</v>
      </c>
      <c r="G383">
        <v>4.0263359999999997</v>
      </c>
      <c r="H383">
        <v>57.91</v>
      </c>
      <c r="I383">
        <v>74120</v>
      </c>
      <c r="J383">
        <v>4.84</v>
      </c>
    </row>
    <row r="384" spans="1:10" x14ac:dyDescent="0.35">
      <c r="A384" t="s">
        <v>54</v>
      </c>
      <c r="B384" t="s">
        <v>83</v>
      </c>
      <c r="C384" t="s">
        <v>91</v>
      </c>
      <c r="D384">
        <v>2017</v>
      </c>
      <c r="E384">
        <v>92.33</v>
      </c>
      <c r="F384">
        <v>77.67</v>
      </c>
      <c r="G384">
        <v>4.096063</v>
      </c>
      <c r="H384">
        <v>62.2</v>
      </c>
      <c r="I384">
        <v>74120</v>
      </c>
      <c r="J384">
        <v>5.46</v>
      </c>
    </row>
    <row r="385" spans="1:10" x14ac:dyDescent="0.35">
      <c r="A385" t="s">
        <v>54</v>
      </c>
      <c r="B385" t="s">
        <v>83</v>
      </c>
      <c r="C385" t="s">
        <v>91</v>
      </c>
      <c r="D385">
        <v>2018</v>
      </c>
      <c r="E385">
        <v>92.33</v>
      </c>
      <c r="F385">
        <v>78.67</v>
      </c>
      <c r="G385">
        <v>4.1652550000000002</v>
      </c>
      <c r="H385">
        <v>64.930000000000007</v>
      </c>
      <c r="I385">
        <v>74180</v>
      </c>
      <c r="J385">
        <v>5.31</v>
      </c>
    </row>
    <row r="386" spans="1:10" x14ac:dyDescent="0.35">
      <c r="A386" t="s">
        <v>54</v>
      </c>
      <c r="B386" t="s">
        <v>83</v>
      </c>
      <c r="C386" t="s">
        <v>91</v>
      </c>
      <c r="D386">
        <v>2019</v>
      </c>
      <c r="E386">
        <v>92.67</v>
      </c>
      <c r="F386">
        <v>79.67</v>
      </c>
      <c r="G386">
        <v>4.232532</v>
      </c>
      <c r="H386">
        <v>66.98</v>
      </c>
      <c r="I386">
        <v>74180</v>
      </c>
      <c r="J386">
        <v>6.41</v>
      </c>
    </row>
    <row r="387" spans="1:10" x14ac:dyDescent="0.35">
      <c r="A387" t="s">
        <v>54</v>
      </c>
      <c r="B387" t="s">
        <v>83</v>
      </c>
      <c r="C387" t="s">
        <v>91</v>
      </c>
      <c r="D387">
        <v>2020</v>
      </c>
      <c r="E387">
        <v>92.67</v>
      </c>
      <c r="F387">
        <v>81</v>
      </c>
      <c r="G387">
        <v>4.2943959999999999</v>
      </c>
      <c r="H387">
        <v>53.98</v>
      </c>
      <c r="I387">
        <v>74180</v>
      </c>
      <c r="J387">
        <v>18.55</v>
      </c>
    </row>
    <row r="388" spans="1:10" x14ac:dyDescent="0.35">
      <c r="A388" t="s">
        <v>54</v>
      </c>
      <c r="B388" t="s">
        <v>92</v>
      </c>
      <c r="C388" t="s">
        <v>93</v>
      </c>
      <c r="D388">
        <v>2015</v>
      </c>
      <c r="E388">
        <v>97.33</v>
      </c>
      <c r="F388">
        <v>89.67</v>
      </c>
      <c r="G388">
        <v>43.131965999999998</v>
      </c>
      <c r="H388">
        <v>594.75</v>
      </c>
      <c r="I388">
        <v>2736690</v>
      </c>
      <c r="J388" t="s">
        <v>14</v>
      </c>
    </row>
    <row r="389" spans="1:10" x14ac:dyDescent="0.35">
      <c r="A389" t="s">
        <v>54</v>
      </c>
      <c r="B389" t="s">
        <v>92</v>
      </c>
      <c r="C389" t="s">
        <v>93</v>
      </c>
      <c r="D389">
        <v>2016</v>
      </c>
      <c r="E389">
        <v>97.33</v>
      </c>
      <c r="F389">
        <v>89.67</v>
      </c>
      <c r="G389">
        <v>43.590367999999998</v>
      </c>
      <c r="H389">
        <v>557.53</v>
      </c>
      <c r="I389">
        <v>2736690</v>
      </c>
      <c r="J389" t="s">
        <v>14</v>
      </c>
    </row>
    <row r="390" spans="1:10" x14ac:dyDescent="0.35">
      <c r="A390" t="s">
        <v>54</v>
      </c>
      <c r="B390" t="s">
        <v>92</v>
      </c>
      <c r="C390" t="s">
        <v>93</v>
      </c>
      <c r="D390">
        <v>2017</v>
      </c>
      <c r="E390">
        <v>100</v>
      </c>
      <c r="F390">
        <v>97</v>
      </c>
      <c r="G390">
        <v>44.044811000000003</v>
      </c>
      <c r="H390">
        <v>643.63</v>
      </c>
      <c r="I390">
        <v>2736690</v>
      </c>
      <c r="J390">
        <v>8.35</v>
      </c>
    </row>
    <row r="391" spans="1:10" x14ac:dyDescent="0.35">
      <c r="A391" t="s">
        <v>54</v>
      </c>
      <c r="B391" t="s">
        <v>92</v>
      </c>
      <c r="C391" t="s">
        <v>93</v>
      </c>
      <c r="D391">
        <v>2018</v>
      </c>
      <c r="E391">
        <v>100</v>
      </c>
      <c r="F391">
        <v>98</v>
      </c>
      <c r="G391">
        <v>44.494501999999997</v>
      </c>
      <c r="H391">
        <v>524.82000000000005</v>
      </c>
      <c r="I391">
        <v>2736690</v>
      </c>
      <c r="J391">
        <v>9.2200000000000006</v>
      </c>
    </row>
    <row r="392" spans="1:10" x14ac:dyDescent="0.35">
      <c r="A392" t="s">
        <v>54</v>
      </c>
      <c r="B392" t="s">
        <v>92</v>
      </c>
      <c r="C392" t="s">
        <v>93</v>
      </c>
      <c r="D392">
        <v>2019</v>
      </c>
      <c r="E392">
        <v>100</v>
      </c>
      <c r="F392">
        <v>98</v>
      </c>
      <c r="G392">
        <v>44.938712000000002</v>
      </c>
      <c r="H392">
        <v>447.75</v>
      </c>
      <c r="I392">
        <v>2736690</v>
      </c>
      <c r="J392">
        <v>9.84</v>
      </c>
    </row>
    <row r="393" spans="1:10" x14ac:dyDescent="0.35">
      <c r="A393" t="s">
        <v>54</v>
      </c>
      <c r="B393" t="s">
        <v>92</v>
      </c>
      <c r="C393" t="s">
        <v>93</v>
      </c>
      <c r="D393">
        <v>2020</v>
      </c>
      <c r="E393">
        <v>100</v>
      </c>
      <c r="F393">
        <v>99</v>
      </c>
      <c r="G393">
        <v>45.376762999999997</v>
      </c>
      <c r="H393">
        <v>385.54</v>
      </c>
      <c r="I393">
        <v>2736690</v>
      </c>
      <c r="J393">
        <v>11.46</v>
      </c>
    </row>
    <row r="394" spans="1:10" x14ac:dyDescent="0.35">
      <c r="A394" t="s">
        <v>54</v>
      </c>
      <c r="B394" t="s">
        <v>92</v>
      </c>
      <c r="C394" t="s">
        <v>94</v>
      </c>
      <c r="D394">
        <v>2015</v>
      </c>
      <c r="E394">
        <v>87.33</v>
      </c>
      <c r="F394">
        <v>53</v>
      </c>
      <c r="G394" t="s">
        <v>14</v>
      </c>
      <c r="H394" t="s">
        <v>14</v>
      </c>
      <c r="I394" t="s">
        <v>14</v>
      </c>
      <c r="J394" t="s">
        <v>14</v>
      </c>
    </row>
    <row r="395" spans="1:10" x14ac:dyDescent="0.35">
      <c r="A395" t="s">
        <v>54</v>
      </c>
      <c r="B395" t="s">
        <v>92</v>
      </c>
      <c r="C395" t="s">
        <v>94</v>
      </c>
      <c r="D395">
        <v>2016</v>
      </c>
      <c r="E395">
        <v>88</v>
      </c>
      <c r="F395">
        <v>54.33</v>
      </c>
      <c r="G395" t="s">
        <v>14</v>
      </c>
      <c r="H395" t="s">
        <v>14</v>
      </c>
      <c r="I395" t="s">
        <v>14</v>
      </c>
      <c r="J395" t="s">
        <v>14</v>
      </c>
    </row>
    <row r="396" spans="1:10" x14ac:dyDescent="0.35">
      <c r="A396" t="s">
        <v>54</v>
      </c>
      <c r="B396" t="s">
        <v>92</v>
      </c>
      <c r="C396" t="s">
        <v>94</v>
      </c>
      <c r="D396">
        <v>2017</v>
      </c>
      <c r="E396">
        <v>89</v>
      </c>
      <c r="F396">
        <v>56.33</v>
      </c>
      <c r="G396" t="s">
        <v>14</v>
      </c>
      <c r="H396" t="s">
        <v>14</v>
      </c>
      <c r="I396" t="s">
        <v>14</v>
      </c>
      <c r="J396" t="s">
        <v>14</v>
      </c>
    </row>
    <row r="397" spans="1:10" x14ac:dyDescent="0.35">
      <c r="A397" t="s">
        <v>54</v>
      </c>
      <c r="B397" t="s">
        <v>92</v>
      </c>
      <c r="C397" t="s">
        <v>94</v>
      </c>
      <c r="D397">
        <v>2018</v>
      </c>
      <c r="E397">
        <v>89.67</v>
      </c>
      <c r="F397">
        <v>58</v>
      </c>
      <c r="G397" t="s">
        <v>14</v>
      </c>
      <c r="H397" t="s">
        <v>14</v>
      </c>
      <c r="I397" t="s">
        <v>14</v>
      </c>
      <c r="J397" t="s">
        <v>14</v>
      </c>
    </row>
    <row r="398" spans="1:10" x14ac:dyDescent="0.35">
      <c r="A398" t="s">
        <v>54</v>
      </c>
      <c r="B398" t="s">
        <v>92</v>
      </c>
      <c r="C398" t="s">
        <v>94</v>
      </c>
      <c r="D398">
        <v>2019</v>
      </c>
      <c r="E398">
        <v>90.33</v>
      </c>
      <c r="F398">
        <v>59.67</v>
      </c>
      <c r="G398" t="s">
        <v>14</v>
      </c>
      <c r="H398" t="s">
        <v>14</v>
      </c>
      <c r="I398" t="s">
        <v>14</v>
      </c>
      <c r="J398" t="s">
        <v>14</v>
      </c>
    </row>
    <row r="399" spans="1:10" x14ac:dyDescent="0.35">
      <c r="A399" t="s">
        <v>54</v>
      </c>
      <c r="B399" t="s">
        <v>92</v>
      </c>
      <c r="C399" t="s">
        <v>94</v>
      </c>
      <c r="D399">
        <v>2020</v>
      </c>
      <c r="E399">
        <v>90.67</v>
      </c>
      <c r="F399">
        <v>61.67</v>
      </c>
      <c r="G399" t="s">
        <v>14</v>
      </c>
      <c r="H399" t="s">
        <v>14</v>
      </c>
      <c r="I399" t="s">
        <v>14</v>
      </c>
      <c r="J399" t="s">
        <v>14</v>
      </c>
    </row>
    <row r="400" spans="1:10" x14ac:dyDescent="0.35">
      <c r="A400" t="s">
        <v>54</v>
      </c>
      <c r="B400" t="s">
        <v>92</v>
      </c>
      <c r="C400" t="s">
        <v>95</v>
      </c>
      <c r="D400">
        <v>2015</v>
      </c>
      <c r="E400">
        <v>95.33</v>
      </c>
      <c r="F400">
        <v>77.67</v>
      </c>
      <c r="G400">
        <v>205.18820500000001</v>
      </c>
      <c r="H400">
        <v>1802.21</v>
      </c>
      <c r="I400">
        <v>8358140</v>
      </c>
      <c r="J400">
        <v>8.5399999999999991</v>
      </c>
    </row>
    <row r="401" spans="1:10" x14ac:dyDescent="0.35">
      <c r="A401" t="s">
        <v>54</v>
      </c>
      <c r="B401" t="s">
        <v>92</v>
      </c>
      <c r="C401" t="s">
        <v>95</v>
      </c>
      <c r="D401">
        <v>2016</v>
      </c>
      <c r="E401">
        <v>95.33</v>
      </c>
      <c r="F401">
        <v>79</v>
      </c>
      <c r="G401">
        <v>206.859578</v>
      </c>
      <c r="H401">
        <v>1795.7</v>
      </c>
      <c r="I401">
        <v>8358140</v>
      </c>
      <c r="J401">
        <v>11.58</v>
      </c>
    </row>
    <row r="402" spans="1:10" x14ac:dyDescent="0.35">
      <c r="A402" t="s">
        <v>54</v>
      </c>
      <c r="B402" t="s">
        <v>92</v>
      </c>
      <c r="C402" t="s">
        <v>95</v>
      </c>
      <c r="D402">
        <v>2017</v>
      </c>
      <c r="E402">
        <v>96.33</v>
      </c>
      <c r="F402">
        <v>79.67</v>
      </c>
      <c r="G402">
        <v>208.50496000000001</v>
      </c>
      <c r="H402">
        <v>2063.5100000000002</v>
      </c>
      <c r="I402">
        <v>8358140</v>
      </c>
      <c r="J402">
        <v>12.79</v>
      </c>
    </row>
    <row r="403" spans="1:10" x14ac:dyDescent="0.35">
      <c r="A403" t="s">
        <v>54</v>
      </c>
      <c r="B403" t="s">
        <v>92</v>
      </c>
      <c r="C403" t="s">
        <v>95</v>
      </c>
      <c r="D403">
        <v>2018</v>
      </c>
      <c r="E403">
        <v>97</v>
      </c>
      <c r="F403">
        <v>80.33</v>
      </c>
      <c r="G403">
        <v>210.16659200000001</v>
      </c>
      <c r="H403">
        <v>1916.95</v>
      </c>
      <c r="I403">
        <v>8358140</v>
      </c>
      <c r="J403">
        <v>12.33</v>
      </c>
    </row>
    <row r="404" spans="1:10" x14ac:dyDescent="0.35">
      <c r="A404" t="s">
        <v>54</v>
      </c>
      <c r="B404" t="s">
        <v>92</v>
      </c>
      <c r="C404" t="s">
        <v>95</v>
      </c>
      <c r="D404">
        <v>2019</v>
      </c>
      <c r="E404">
        <v>97.33</v>
      </c>
      <c r="F404">
        <v>81.67</v>
      </c>
      <c r="G404">
        <v>211.78287800000001</v>
      </c>
      <c r="H404">
        <v>1873.27</v>
      </c>
      <c r="I404">
        <v>8358140</v>
      </c>
      <c r="J404">
        <v>11.94</v>
      </c>
    </row>
    <row r="405" spans="1:10" x14ac:dyDescent="0.35">
      <c r="A405" t="s">
        <v>54</v>
      </c>
      <c r="B405" t="s">
        <v>92</v>
      </c>
      <c r="C405" t="s">
        <v>95</v>
      </c>
      <c r="D405">
        <v>2020</v>
      </c>
      <c r="E405">
        <v>98.33</v>
      </c>
      <c r="F405">
        <v>82.33</v>
      </c>
      <c r="G405">
        <v>213.196304</v>
      </c>
      <c r="H405">
        <v>1448.56</v>
      </c>
      <c r="I405">
        <v>8358140</v>
      </c>
      <c r="J405">
        <v>13.7</v>
      </c>
    </row>
    <row r="406" spans="1:10" x14ac:dyDescent="0.35">
      <c r="A406" t="s">
        <v>54</v>
      </c>
      <c r="B406" t="s">
        <v>92</v>
      </c>
      <c r="C406" t="s">
        <v>96</v>
      </c>
      <c r="D406">
        <v>2015</v>
      </c>
      <c r="E406">
        <v>99</v>
      </c>
      <c r="F406">
        <v>98.67</v>
      </c>
      <c r="G406">
        <v>17.870124000000001</v>
      </c>
      <c r="H406">
        <v>242.5</v>
      </c>
      <c r="I406">
        <v>743532</v>
      </c>
      <c r="J406">
        <v>6.49</v>
      </c>
    </row>
    <row r="407" spans="1:10" x14ac:dyDescent="0.35">
      <c r="A407" t="s">
        <v>54</v>
      </c>
      <c r="B407" t="s">
        <v>92</v>
      </c>
      <c r="C407" t="s">
        <v>96</v>
      </c>
      <c r="D407">
        <v>2016</v>
      </c>
      <c r="E407">
        <v>99.67</v>
      </c>
      <c r="F407">
        <v>99.67</v>
      </c>
      <c r="G407">
        <v>18.083879</v>
      </c>
      <c r="H407">
        <v>249.3</v>
      </c>
      <c r="I407">
        <v>743532</v>
      </c>
      <c r="J407">
        <v>6.73</v>
      </c>
    </row>
    <row r="408" spans="1:10" x14ac:dyDescent="0.35">
      <c r="A408" t="s">
        <v>54</v>
      </c>
      <c r="B408" t="s">
        <v>92</v>
      </c>
      <c r="C408" t="s">
        <v>96</v>
      </c>
      <c r="D408">
        <v>2017</v>
      </c>
      <c r="E408">
        <v>100</v>
      </c>
      <c r="F408">
        <v>100</v>
      </c>
      <c r="G408">
        <v>18.368576999999998</v>
      </c>
      <c r="H408">
        <v>276.36</v>
      </c>
      <c r="I408">
        <v>743532</v>
      </c>
      <c r="J408">
        <v>6.95</v>
      </c>
    </row>
    <row r="409" spans="1:10" x14ac:dyDescent="0.35">
      <c r="A409" t="s">
        <v>54</v>
      </c>
      <c r="B409" t="s">
        <v>92</v>
      </c>
      <c r="C409" t="s">
        <v>96</v>
      </c>
      <c r="D409">
        <v>2018</v>
      </c>
      <c r="E409">
        <v>100</v>
      </c>
      <c r="F409">
        <v>100</v>
      </c>
      <c r="G409">
        <v>18.701450000000001</v>
      </c>
      <c r="H409">
        <v>295.39999999999998</v>
      </c>
      <c r="I409">
        <v>743532</v>
      </c>
      <c r="J409">
        <v>7.21</v>
      </c>
    </row>
    <row r="410" spans="1:10" x14ac:dyDescent="0.35">
      <c r="A410" t="s">
        <v>54</v>
      </c>
      <c r="B410" t="s">
        <v>92</v>
      </c>
      <c r="C410" t="s">
        <v>96</v>
      </c>
      <c r="D410">
        <v>2019</v>
      </c>
      <c r="E410">
        <v>100</v>
      </c>
      <c r="F410">
        <v>100</v>
      </c>
      <c r="G410">
        <v>19.039484999999999</v>
      </c>
      <c r="H410">
        <v>278.58</v>
      </c>
      <c r="I410">
        <v>743532</v>
      </c>
      <c r="J410">
        <v>7.27</v>
      </c>
    </row>
    <row r="411" spans="1:10" x14ac:dyDescent="0.35">
      <c r="A411" t="s">
        <v>54</v>
      </c>
      <c r="B411" t="s">
        <v>92</v>
      </c>
      <c r="C411" t="s">
        <v>96</v>
      </c>
      <c r="D411">
        <v>2020</v>
      </c>
      <c r="E411">
        <v>100</v>
      </c>
      <c r="F411">
        <v>100</v>
      </c>
      <c r="G411">
        <v>19.300315000000001</v>
      </c>
      <c r="H411">
        <v>252.73</v>
      </c>
      <c r="I411">
        <v>743532</v>
      </c>
      <c r="J411">
        <v>10.94</v>
      </c>
    </row>
    <row r="412" spans="1:10" x14ac:dyDescent="0.35">
      <c r="A412" t="s">
        <v>54</v>
      </c>
      <c r="B412" t="s">
        <v>92</v>
      </c>
      <c r="C412" t="s">
        <v>97</v>
      </c>
      <c r="D412">
        <v>2015</v>
      </c>
      <c r="E412">
        <v>93</v>
      </c>
      <c r="F412">
        <v>86.33</v>
      </c>
      <c r="G412">
        <v>47.119728000000002</v>
      </c>
      <c r="H412">
        <v>293.48</v>
      </c>
      <c r="I412">
        <v>1109500</v>
      </c>
      <c r="J412">
        <v>8.57</v>
      </c>
    </row>
    <row r="413" spans="1:10" x14ac:dyDescent="0.35">
      <c r="A413" t="s">
        <v>54</v>
      </c>
      <c r="B413" t="s">
        <v>92</v>
      </c>
      <c r="C413" t="s">
        <v>97</v>
      </c>
      <c r="D413">
        <v>2016</v>
      </c>
      <c r="E413">
        <v>93.67</v>
      </c>
      <c r="F413">
        <v>87.33</v>
      </c>
      <c r="G413">
        <v>47.625954999999998</v>
      </c>
      <c r="H413">
        <v>282.83</v>
      </c>
      <c r="I413">
        <v>1109500</v>
      </c>
      <c r="J413">
        <v>8.92</v>
      </c>
    </row>
    <row r="414" spans="1:10" x14ac:dyDescent="0.35">
      <c r="A414" t="s">
        <v>54</v>
      </c>
      <c r="B414" t="s">
        <v>92</v>
      </c>
      <c r="C414" t="s">
        <v>97</v>
      </c>
      <c r="D414">
        <v>2017</v>
      </c>
      <c r="E414">
        <v>94</v>
      </c>
      <c r="F414">
        <v>88</v>
      </c>
      <c r="G414">
        <v>48.351671000000003</v>
      </c>
      <c r="H414">
        <v>311.88</v>
      </c>
      <c r="I414">
        <v>1109500</v>
      </c>
      <c r="J414">
        <v>9.09</v>
      </c>
    </row>
    <row r="415" spans="1:10" x14ac:dyDescent="0.35">
      <c r="A415" t="s">
        <v>54</v>
      </c>
      <c r="B415" t="s">
        <v>92</v>
      </c>
      <c r="C415" t="s">
        <v>97</v>
      </c>
      <c r="D415">
        <v>2018</v>
      </c>
      <c r="E415">
        <v>94</v>
      </c>
      <c r="F415">
        <v>89.33</v>
      </c>
      <c r="G415">
        <v>49.276961</v>
      </c>
      <c r="H415">
        <v>334.2</v>
      </c>
      <c r="I415">
        <v>1109500</v>
      </c>
      <c r="J415">
        <v>9.36</v>
      </c>
    </row>
    <row r="416" spans="1:10" x14ac:dyDescent="0.35">
      <c r="A416" t="s">
        <v>54</v>
      </c>
      <c r="B416" t="s">
        <v>92</v>
      </c>
      <c r="C416" t="s">
        <v>97</v>
      </c>
      <c r="D416">
        <v>2019</v>
      </c>
      <c r="E416">
        <v>94.33</v>
      </c>
      <c r="F416">
        <v>90.33</v>
      </c>
      <c r="G416">
        <v>50.187406000000003</v>
      </c>
      <c r="H416">
        <v>323.11</v>
      </c>
      <c r="I416">
        <v>1109500</v>
      </c>
      <c r="J416">
        <v>10.28</v>
      </c>
    </row>
    <row r="417" spans="1:10" x14ac:dyDescent="0.35">
      <c r="A417" t="s">
        <v>54</v>
      </c>
      <c r="B417" t="s">
        <v>92</v>
      </c>
      <c r="C417" t="s">
        <v>97</v>
      </c>
      <c r="D417">
        <v>2020</v>
      </c>
      <c r="E417">
        <v>94.67</v>
      </c>
      <c r="F417">
        <v>91.33</v>
      </c>
      <c r="G417">
        <v>50.930661999999998</v>
      </c>
      <c r="H417">
        <v>270.3</v>
      </c>
      <c r="I417">
        <v>1109500</v>
      </c>
      <c r="J417">
        <v>15.98</v>
      </c>
    </row>
    <row r="418" spans="1:10" x14ac:dyDescent="0.35">
      <c r="A418" t="s">
        <v>54</v>
      </c>
      <c r="B418" t="s">
        <v>92</v>
      </c>
      <c r="C418" t="s">
        <v>98</v>
      </c>
      <c r="D418">
        <v>2015</v>
      </c>
      <c r="E418">
        <v>91.67</v>
      </c>
      <c r="F418">
        <v>85.33</v>
      </c>
      <c r="G418">
        <v>16.195902</v>
      </c>
      <c r="H418">
        <v>99.29</v>
      </c>
      <c r="I418">
        <v>248360</v>
      </c>
      <c r="J418">
        <v>3.62</v>
      </c>
    </row>
    <row r="419" spans="1:10" x14ac:dyDescent="0.35">
      <c r="A419" t="s">
        <v>54</v>
      </c>
      <c r="B419" t="s">
        <v>92</v>
      </c>
      <c r="C419" t="s">
        <v>98</v>
      </c>
      <c r="D419">
        <v>2016</v>
      </c>
      <c r="E419">
        <v>92.33</v>
      </c>
      <c r="F419">
        <v>87</v>
      </c>
      <c r="G419">
        <v>16.439585000000001</v>
      </c>
      <c r="H419">
        <v>99.94</v>
      </c>
      <c r="I419">
        <v>248360</v>
      </c>
      <c r="J419">
        <v>4.5999999999999996</v>
      </c>
    </row>
    <row r="420" spans="1:10" x14ac:dyDescent="0.35">
      <c r="A420" t="s">
        <v>54</v>
      </c>
      <c r="B420" t="s">
        <v>92</v>
      </c>
      <c r="C420" t="s">
        <v>98</v>
      </c>
      <c r="D420">
        <v>2017</v>
      </c>
      <c r="E420">
        <v>92.67</v>
      </c>
      <c r="F420">
        <v>88.33</v>
      </c>
      <c r="G420">
        <v>16.696943999999998</v>
      </c>
      <c r="H420">
        <v>104.3</v>
      </c>
      <c r="I420">
        <v>248360</v>
      </c>
      <c r="J420">
        <v>3.84</v>
      </c>
    </row>
    <row r="421" spans="1:10" x14ac:dyDescent="0.35">
      <c r="A421" t="s">
        <v>54</v>
      </c>
      <c r="B421" t="s">
        <v>92</v>
      </c>
      <c r="C421" t="s">
        <v>98</v>
      </c>
      <c r="D421">
        <v>2018</v>
      </c>
      <c r="E421">
        <v>93.33</v>
      </c>
      <c r="F421">
        <v>89.33</v>
      </c>
      <c r="G421">
        <v>17.015671999999999</v>
      </c>
      <c r="H421">
        <v>107.56</v>
      </c>
      <c r="I421">
        <v>248360</v>
      </c>
      <c r="J421">
        <v>3.53</v>
      </c>
    </row>
    <row r="422" spans="1:10" x14ac:dyDescent="0.35">
      <c r="A422" t="s">
        <v>54</v>
      </c>
      <c r="B422" t="s">
        <v>92</v>
      </c>
      <c r="C422" t="s">
        <v>98</v>
      </c>
      <c r="D422">
        <v>2019</v>
      </c>
      <c r="E422">
        <v>93.67</v>
      </c>
      <c r="F422">
        <v>90</v>
      </c>
      <c r="G422">
        <v>17.34374</v>
      </c>
      <c r="H422">
        <v>108.11</v>
      </c>
      <c r="I422">
        <v>248360</v>
      </c>
      <c r="J422">
        <v>3.81</v>
      </c>
    </row>
    <row r="423" spans="1:10" x14ac:dyDescent="0.35">
      <c r="A423" t="s">
        <v>54</v>
      </c>
      <c r="B423" t="s">
        <v>92</v>
      </c>
      <c r="C423" t="s">
        <v>98</v>
      </c>
      <c r="D423">
        <v>2020</v>
      </c>
      <c r="E423">
        <v>94</v>
      </c>
      <c r="F423">
        <v>91.33</v>
      </c>
      <c r="G423">
        <v>17.588595000000002</v>
      </c>
      <c r="H423">
        <v>99.29</v>
      </c>
      <c r="I423">
        <v>248360</v>
      </c>
      <c r="J423">
        <v>6.11</v>
      </c>
    </row>
    <row r="424" spans="1:10" x14ac:dyDescent="0.35">
      <c r="A424" t="s">
        <v>54</v>
      </c>
      <c r="B424" t="s">
        <v>92</v>
      </c>
      <c r="C424" t="s">
        <v>99</v>
      </c>
      <c r="D424">
        <v>2015</v>
      </c>
      <c r="E424">
        <v>91</v>
      </c>
      <c r="F424">
        <v>100</v>
      </c>
      <c r="G424" t="s">
        <v>14</v>
      </c>
      <c r="H424" t="s">
        <v>14</v>
      </c>
      <c r="I424" t="s">
        <v>14</v>
      </c>
      <c r="J424" t="s">
        <v>14</v>
      </c>
    </row>
    <row r="425" spans="1:10" x14ac:dyDescent="0.35">
      <c r="A425" t="s">
        <v>54</v>
      </c>
      <c r="B425" t="s">
        <v>92</v>
      </c>
      <c r="C425" t="s">
        <v>99</v>
      </c>
      <c r="D425">
        <v>2016</v>
      </c>
      <c r="E425">
        <v>91</v>
      </c>
      <c r="F425">
        <v>100</v>
      </c>
      <c r="G425" t="s">
        <v>14</v>
      </c>
      <c r="H425" t="s">
        <v>14</v>
      </c>
      <c r="I425" t="s">
        <v>14</v>
      </c>
      <c r="J425" t="s">
        <v>14</v>
      </c>
    </row>
    <row r="426" spans="1:10" x14ac:dyDescent="0.35">
      <c r="A426" t="s">
        <v>54</v>
      </c>
      <c r="B426" t="s">
        <v>92</v>
      </c>
      <c r="C426" t="s">
        <v>99</v>
      </c>
      <c r="D426">
        <v>2017</v>
      </c>
      <c r="E426">
        <v>91</v>
      </c>
      <c r="F426">
        <v>100</v>
      </c>
      <c r="G426" t="s">
        <v>14</v>
      </c>
      <c r="H426" t="s">
        <v>14</v>
      </c>
      <c r="I426" t="s">
        <v>14</v>
      </c>
      <c r="J426" t="s">
        <v>14</v>
      </c>
    </row>
    <row r="427" spans="1:10" x14ac:dyDescent="0.35">
      <c r="A427" t="s">
        <v>54</v>
      </c>
      <c r="B427" t="s">
        <v>92</v>
      </c>
      <c r="C427" t="s">
        <v>99</v>
      </c>
      <c r="D427">
        <v>2018</v>
      </c>
      <c r="E427">
        <v>91</v>
      </c>
      <c r="F427">
        <v>100</v>
      </c>
      <c r="G427" t="s">
        <v>14</v>
      </c>
      <c r="H427" t="s">
        <v>14</v>
      </c>
      <c r="I427" t="s">
        <v>14</v>
      </c>
      <c r="J427" t="s">
        <v>14</v>
      </c>
    </row>
    <row r="428" spans="1:10" x14ac:dyDescent="0.35">
      <c r="A428" t="s">
        <v>54</v>
      </c>
      <c r="B428" t="s">
        <v>92</v>
      </c>
      <c r="C428" t="s">
        <v>99</v>
      </c>
      <c r="D428">
        <v>2019</v>
      </c>
      <c r="E428">
        <v>91</v>
      </c>
      <c r="F428">
        <v>100</v>
      </c>
      <c r="G428" t="s">
        <v>14</v>
      </c>
      <c r="H428" t="s">
        <v>14</v>
      </c>
      <c r="I428" t="s">
        <v>14</v>
      </c>
      <c r="J428" t="s">
        <v>14</v>
      </c>
    </row>
    <row r="429" spans="1:10" x14ac:dyDescent="0.35">
      <c r="A429" t="s">
        <v>54</v>
      </c>
      <c r="B429" t="s">
        <v>92</v>
      </c>
      <c r="C429" t="s">
        <v>99</v>
      </c>
      <c r="D429">
        <v>2020</v>
      </c>
      <c r="E429">
        <v>91</v>
      </c>
      <c r="F429">
        <v>100</v>
      </c>
      <c r="G429" t="s">
        <v>14</v>
      </c>
      <c r="H429" t="s">
        <v>14</v>
      </c>
      <c r="I429" t="s">
        <v>14</v>
      </c>
      <c r="J429" t="s">
        <v>14</v>
      </c>
    </row>
    <row r="430" spans="1:10" x14ac:dyDescent="0.35">
      <c r="A430" t="s">
        <v>54</v>
      </c>
      <c r="B430" t="s">
        <v>92</v>
      </c>
      <c r="C430" t="s">
        <v>100</v>
      </c>
      <c r="D430">
        <v>2015</v>
      </c>
      <c r="E430">
        <v>94</v>
      </c>
      <c r="F430">
        <v>92</v>
      </c>
      <c r="G430" t="s">
        <v>14</v>
      </c>
      <c r="H430" t="s">
        <v>14</v>
      </c>
      <c r="I430" t="s">
        <v>14</v>
      </c>
      <c r="J430" t="s">
        <v>14</v>
      </c>
    </row>
    <row r="431" spans="1:10" x14ac:dyDescent="0.35">
      <c r="A431" t="s">
        <v>54</v>
      </c>
      <c r="B431" t="s">
        <v>92</v>
      </c>
      <c r="C431" t="s">
        <v>100</v>
      </c>
      <c r="D431">
        <v>2016</v>
      </c>
      <c r="E431">
        <v>94</v>
      </c>
      <c r="F431">
        <v>92</v>
      </c>
      <c r="G431" t="s">
        <v>14</v>
      </c>
      <c r="H431" t="s">
        <v>14</v>
      </c>
      <c r="I431" t="s">
        <v>14</v>
      </c>
      <c r="J431" t="s">
        <v>14</v>
      </c>
    </row>
    <row r="432" spans="1:10" x14ac:dyDescent="0.35">
      <c r="A432" t="s">
        <v>54</v>
      </c>
      <c r="B432" t="s">
        <v>92</v>
      </c>
      <c r="C432" t="s">
        <v>100</v>
      </c>
      <c r="D432">
        <v>2017</v>
      </c>
      <c r="E432">
        <v>94</v>
      </c>
      <c r="F432">
        <v>92</v>
      </c>
      <c r="G432" t="s">
        <v>14</v>
      </c>
      <c r="H432" t="s">
        <v>14</v>
      </c>
      <c r="I432" t="s">
        <v>14</v>
      </c>
      <c r="J432" t="s">
        <v>14</v>
      </c>
    </row>
    <row r="433" spans="1:10" x14ac:dyDescent="0.35">
      <c r="A433" t="s">
        <v>54</v>
      </c>
      <c r="B433" t="s">
        <v>92</v>
      </c>
      <c r="C433" t="s">
        <v>100</v>
      </c>
      <c r="D433">
        <v>2018</v>
      </c>
      <c r="E433">
        <v>94</v>
      </c>
      <c r="F433">
        <v>92</v>
      </c>
      <c r="G433" t="s">
        <v>14</v>
      </c>
      <c r="H433" t="s">
        <v>14</v>
      </c>
      <c r="I433" t="s">
        <v>14</v>
      </c>
      <c r="J433" t="s">
        <v>14</v>
      </c>
    </row>
    <row r="434" spans="1:10" x14ac:dyDescent="0.35">
      <c r="A434" t="s">
        <v>54</v>
      </c>
      <c r="B434" t="s">
        <v>92</v>
      </c>
      <c r="C434" t="s">
        <v>100</v>
      </c>
      <c r="D434">
        <v>2019</v>
      </c>
      <c r="E434">
        <v>94</v>
      </c>
      <c r="F434">
        <v>92</v>
      </c>
      <c r="G434" t="s">
        <v>14</v>
      </c>
      <c r="H434" t="s">
        <v>14</v>
      </c>
      <c r="I434" t="s">
        <v>14</v>
      </c>
      <c r="J434" t="s">
        <v>14</v>
      </c>
    </row>
    <row r="435" spans="1:10" x14ac:dyDescent="0.35">
      <c r="A435" t="s">
        <v>54</v>
      </c>
      <c r="B435" t="s">
        <v>92</v>
      </c>
      <c r="C435" t="s">
        <v>100</v>
      </c>
      <c r="D435">
        <v>2020</v>
      </c>
      <c r="E435">
        <v>94</v>
      </c>
      <c r="F435">
        <v>92</v>
      </c>
      <c r="G435" t="s">
        <v>14</v>
      </c>
      <c r="H435" t="s">
        <v>14</v>
      </c>
      <c r="I435" t="s">
        <v>14</v>
      </c>
      <c r="J435" t="s">
        <v>14</v>
      </c>
    </row>
    <row r="436" spans="1:10" x14ac:dyDescent="0.35">
      <c r="A436" t="s">
        <v>54</v>
      </c>
      <c r="B436" t="s">
        <v>92</v>
      </c>
      <c r="C436" t="s">
        <v>101</v>
      </c>
      <c r="D436">
        <v>2015</v>
      </c>
      <c r="E436">
        <v>96</v>
      </c>
      <c r="F436">
        <v>86.33</v>
      </c>
      <c r="G436">
        <v>0.75503100000000001</v>
      </c>
      <c r="H436">
        <v>4.28</v>
      </c>
      <c r="I436">
        <v>196850</v>
      </c>
      <c r="J436" t="s">
        <v>14</v>
      </c>
    </row>
    <row r="437" spans="1:10" x14ac:dyDescent="0.35">
      <c r="A437" t="s">
        <v>54</v>
      </c>
      <c r="B437" t="s">
        <v>92</v>
      </c>
      <c r="C437" t="s">
        <v>101</v>
      </c>
      <c r="D437">
        <v>2016</v>
      </c>
      <c r="E437">
        <v>96.67</v>
      </c>
      <c r="F437">
        <v>87.33</v>
      </c>
      <c r="G437">
        <v>0.75908699999999996</v>
      </c>
      <c r="H437">
        <v>4.4800000000000004</v>
      </c>
      <c r="I437">
        <v>196850</v>
      </c>
      <c r="J437" t="s">
        <v>14</v>
      </c>
    </row>
    <row r="438" spans="1:10" x14ac:dyDescent="0.35">
      <c r="A438" t="s">
        <v>54</v>
      </c>
      <c r="B438" t="s">
        <v>92</v>
      </c>
      <c r="C438" t="s">
        <v>101</v>
      </c>
      <c r="D438">
        <v>2017</v>
      </c>
      <c r="E438">
        <v>96.67</v>
      </c>
      <c r="F438">
        <v>87.33</v>
      </c>
      <c r="G438">
        <v>0.76325200000000004</v>
      </c>
      <c r="H438">
        <v>4.75</v>
      </c>
      <c r="I438">
        <v>196850</v>
      </c>
      <c r="J438" t="s">
        <v>14</v>
      </c>
    </row>
    <row r="439" spans="1:10" x14ac:dyDescent="0.35">
      <c r="A439" t="s">
        <v>54</v>
      </c>
      <c r="B439" t="s">
        <v>92</v>
      </c>
      <c r="C439" t="s">
        <v>101</v>
      </c>
      <c r="D439">
        <v>2018</v>
      </c>
      <c r="E439">
        <v>96.67</v>
      </c>
      <c r="F439">
        <v>87.33</v>
      </c>
      <c r="G439">
        <v>0.78551400000000005</v>
      </c>
      <c r="H439">
        <v>4.79</v>
      </c>
      <c r="I439">
        <v>196850</v>
      </c>
      <c r="J439">
        <v>14.02</v>
      </c>
    </row>
    <row r="440" spans="1:10" x14ac:dyDescent="0.35">
      <c r="A440" t="s">
        <v>54</v>
      </c>
      <c r="B440" t="s">
        <v>92</v>
      </c>
      <c r="C440" t="s">
        <v>101</v>
      </c>
      <c r="D440">
        <v>2019</v>
      </c>
      <c r="E440">
        <v>96.67</v>
      </c>
      <c r="F440">
        <v>87.33</v>
      </c>
      <c r="G440">
        <v>0.79875300000000005</v>
      </c>
      <c r="H440">
        <v>5.17</v>
      </c>
      <c r="I440">
        <v>196850</v>
      </c>
      <c r="J440">
        <v>13.52</v>
      </c>
    </row>
    <row r="441" spans="1:10" x14ac:dyDescent="0.35">
      <c r="A441" t="s">
        <v>54</v>
      </c>
      <c r="B441" t="s">
        <v>92</v>
      </c>
      <c r="C441" t="s">
        <v>101</v>
      </c>
      <c r="D441">
        <v>2020</v>
      </c>
      <c r="E441">
        <v>96.67</v>
      </c>
      <c r="F441">
        <v>87.33</v>
      </c>
      <c r="G441">
        <v>0.79720199999999997</v>
      </c>
      <c r="H441">
        <v>5.47</v>
      </c>
      <c r="I441">
        <v>196850</v>
      </c>
      <c r="J441" t="s">
        <v>14</v>
      </c>
    </row>
    <row r="442" spans="1:10" x14ac:dyDescent="0.35">
      <c r="A442" t="s">
        <v>54</v>
      </c>
      <c r="B442" t="s">
        <v>92</v>
      </c>
      <c r="C442" t="s">
        <v>102</v>
      </c>
      <c r="D442">
        <v>2015</v>
      </c>
      <c r="E442">
        <v>96.33</v>
      </c>
      <c r="F442">
        <v>86.67</v>
      </c>
      <c r="G442">
        <v>6.1779500000000001</v>
      </c>
      <c r="H442">
        <v>36.21</v>
      </c>
      <c r="I442">
        <v>397300</v>
      </c>
      <c r="J442">
        <v>4.5599999999999996</v>
      </c>
    </row>
    <row r="443" spans="1:10" x14ac:dyDescent="0.35">
      <c r="A443" t="s">
        <v>54</v>
      </c>
      <c r="B443" t="s">
        <v>92</v>
      </c>
      <c r="C443" t="s">
        <v>102</v>
      </c>
      <c r="D443">
        <v>2016</v>
      </c>
      <c r="E443">
        <v>97.67</v>
      </c>
      <c r="F443">
        <v>87.67</v>
      </c>
      <c r="G443">
        <v>6.2666149999999998</v>
      </c>
      <c r="H443">
        <v>36.090000000000003</v>
      </c>
      <c r="I443">
        <v>397300</v>
      </c>
      <c r="J443">
        <v>5.25</v>
      </c>
    </row>
    <row r="444" spans="1:10" x14ac:dyDescent="0.35">
      <c r="A444" t="s">
        <v>54</v>
      </c>
      <c r="B444" t="s">
        <v>92</v>
      </c>
      <c r="C444" t="s">
        <v>102</v>
      </c>
      <c r="D444">
        <v>2017</v>
      </c>
      <c r="E444">
        <v>99.33</v>
      </c>
      <c r="F444">
        <v>89</v>
      </c>
      <c r="G444">
        <v>6.3554040000000001</v>
      </c>
      <c r="H444">
        <v>39</v>
      </c>
      <c r="I444">
        <v>397300</v>
      </c>
      <c r="J444">
        <v>4.6100000000000003</v>
      </c>
    </row>
    <row r="445" spans="1:10" x14ac:dyDescent="0.35">
      <c r="A445" t="s">
        <v>54</v>
      </c>
      <c r="B445" t="s">
        <v>92</v>
      </c>
      <c r="C445" t="s">
        <v>102</v>
      </c>
      <c r="D445">
        <v>2018</v>
      </c>
      <c r="E445">
        <v>99.67</v>
      </c>
      <c r="F445">
        <v>90</v>
      </c>
      <c r="G445">
        <v>6.4433280000000002</v>
      </c>
      <c r="H445">
        <v>40.229999999999997</v>
      </c>
      <c r="I445">
        <v>397300</v>
      </c>
      <c r="J445">
        <v>6.22</v>
      </c>
    </row>
    <row r="446" spans="1:10" x14ac:dyDescent="0.35">
      <c r="A446" t="s">
        <v>54</v>
      </c>
      <c r="B446" t="s">
        <v>92</v>
      </c>
      <c r="C446" t="s">
        <v>102</v>
      </c>
      <c r="D446">
        <v>2019</v>
      </c>
      <c r="E446">
        <v>99.67</v>
      </c>
      <c r="F446">
        <v>91.33</v>
      </c>
      <c r="G446">
        <v>6.5300260000000003</v>
      </c>
      <c r="H446">
        <v>37.93</v>
      </c>
      <c r="I446">
        <v>397300</v>
      </c>
      <c r="J446">
        <v>6.59</v>
      </c>
    </row>
    <row r="447" spans="1:10" x14ac:dyDescent="0.35">
      <c r="A447" t="s">
        <v>54</v>
      </c>
      <c r="B447" t="s">
        <v>92</v>
      </c>
      <c r="C447" t="s">
        <v>102</v>
      </c>
      <c r="D447">
        <v>2020</v>
      </c>
      <c r="E447">
        <v>99.67</v>
      </c>
      <c r="F447">
        <v>92</v>
      </c>
      <c r="G447">
        <v>6.6186949999999998</v>
      </c>
      <c r="H447">
        <v>35.43</v>
      </c>
      <c r="I447">
        <v>397300</v>
      </c>
      <c r="J447">
        <v>7.55</v>
      </c>
    </row>
    <row r="448" spans="1:10" x14ac:dyDescent="0.35">
      <c r="A448" t="s">
        <v>54</v>
      </c>
      <c r="B448" t="s">
        <v>92</v>
      </c>
      <c r="C448" t="s">
        <v>103</v>
      </c>
      <c r="D448">
        <v>2015</v>
      </c>
      <c r="E448">
        <v>86</v>
      </c>
      <c r="F448">
        <v>70</v>
      </c>
      <c r="G448">
        <v>30.711863000000001</v>
      </c>
      <c r="H448">
        <v>189.81</v>
      </c>
      <c r="I448">
        <v>1280000</v>
      </c>
      <c r="J448">
        <v>3.27</v>
      </c>
    </row>
    <row r="449" spans="1:10" x14ac:dyDescent="0.35">
      <c r="A449" t="s">
        <v>54</v>
      </c>
      <c r="B449" t="s">
        <v>92</v>
      </c>
      <c r="C449" t="s">
        <v>103</v>
      </c>
      <c r="D449">
        <v>2016</v>
      </c>
      <c r="E449">
        <v>87.33</v>
      </c>
      <c r="F449">
        <v>70.67</v>
      </c>
      <c r="G449">
        <v>31.132778999999999</v>
      </c>
      <c r="H449">
        <v>191.9</v>
      </c>
      <c r="I449">
        <v>1280000</v>
      </c>
      <c r="J449">
        <v>3.74</v>
      </c>
    </row>
    <row r="450" spans="1:10" x14ac:dyDescent="0.35">
      <c r="A450" t="s">
        <v>54</v>
      </c>
      <c r="B450" t="s">
        <v>92</v>
      </c>
      <c r="C450" t="s">
        <v>103</v>
      </c>
      <c r="D450">
        <v>2017</v>
      </c>
      <c r="E450">
        <v>87.67</v>
      </c>
      <c r="F450">
        <v>71.33</v>
      </c>
      <c r="G450">
        <v>31.605485999999999</v>
      </c>
      <c r="H450">
        <v>211.01</v>
      </c>
      <c r="I450">
        <v>1280000</v>
      </c>
      <c r="J450">
        <v>3.69</v>
      </c>
    </row>
    <row r="451" spans="1:10" x14ac:dyDescent="0.35">
      <c r="A451" t="s">
        <v>54</v>
      </c>
      <c r="B451" t="s">
        <v>92</v>
      </c>
      <c r="C451" t="s">
        <v>103</v>
      </c>
      <c r="D451">
        <v>2018</v>
      </c>
      <c r="E451">
        <v>88.67</v>
      </c>
      <c r="F451">
        <v>72.33</v>
      </c>
      <c r="G451">
        <v>32.203944</v>
      </c>
      <c r="H451">
        <v>222.6</v>
      </c>
      <c r="I451">
        <v>1280000</v>
      </c>
      <c r="J451">
        <v>3.49</v>
      </c>
    </row>
    <row r="452" spans="1:10" x14ac:dyDescent="0.35">
      <c r="A452" t="s">
        <v>54</v>
      </c>
      <c r="B452" t="s">
        <v>92</v>
      </c>
      <c r="C452" t="s">
        <v>103</v>
      </c>
      <c r="D452">
        <v>2019</v>
      </c>
      <c r="E452">
        <v>89.33</v>
      </c>
      <c r="F452">
        <v>73.33</v>
      </c>
      <c r="G452">
        <v>32.824860999999999</v>
      </c>
      <c r="H452">
        <v>228.32</v>
      </c>
      <c r="I452">
        <v>1280000</v>
      </c>
      <c r="J452">
        <v>3.38</v>
      </c>
    </row>
    <row r="453" spans="1:10" x14ac:dyDescent="0.35">
      <c r="A453" t="s">
        <v>54</v>
      </c>
      <c r="B453" t="s">
        <v>92</v>
      </c>
      <c r="C453" t="s">
        <v>103</v>
      </c>
      <c r="D453">
        <v>2020</v>
      </c>
      <c r="E453">
        <v>90.33</v>
      </c>
      <c r="F453">
        <v>74.33</v>
      </c>
      <c r="G453">
        <v>33.304755999999998</v>
      </c>
      <c r="H453">
        <v>201.71</v>
      </c>
      <c r="I453">
        <v>1280000</v>
      </c>
      <c r="J453">
        <v>7.18</v>
      </c>
    </row>
    <row r="454" spans="1:10" x14ac:dyDescent="0.35">
      <c r="A454" t="s">
        <v>54</v>
      </c>
      <c r="B454" t="s">
        <v>92</v>
      </c>
      <c r="C454" t="s">
        <v>104</v>
      </c>
      <c r="D454">
        <v>2015</v>
      </c>
      <c r="E454">
        <v>95</v>
      </c>
      <c r="F454">
        <v>84.67</v>
      </c>
      <c r="G454">
        <v>0.57547499999999996</v>
      </c>
      <c r="H454">
        <v>5.13</v>
      </c>
      <c r="I454">
        <v>156000</v>
      </c>
      <c r="J454">
        <v>7.22</v>
      </c>
    </row>
    <row r="455" spans="1:10" x14ac:dyDescent="0.35">
      <c r="A455" t="s">
        <v>54</v>
      </c>
      <c r="B455" t="s">
        <v>92</v>
      </c>
      <c r="C455" t="s">
        <v>104</v>
      </c>
      <c r="D455">
        <v>2016</v>
      </c>
      <c r="E455">
        <v>95.33</v>
      </c>
      <c r="F455">
        <v>85.33</v>
      </c>
      <c r="G455">
        <v>0.581453</v>
      </c>
      <c r="H455">
        <v>3.32</v>
      </c>
      <c r="I455">
        <v>156000</v>
      </c>
      <c r="J455">
        <v>7.92</v>
      </c>
    </row>
    <row r="456" spans="1:10" x14ac:dyDescent="0.35">
      <c r="A456" t="s">
        <v>54</v>
      </c>
      <c r="B456" t="s">
        <v>92</v>
      </c>
      <c r="C456" t="s">
        <v>104</v>
      </c>
      <c r="D456">
        <v>2017</v>
      </c>
      <c r="E456">
        <v>96.33</v>
      </c>
      <c r="F456">
        <v>86.33</v>
      </c>
      <c r="G456">
        <v>0.58755900000000005</v>
      </c>
      <c r="H456">
        <v>3.59</v>
      </c>
      <c r="I456">
        <v>156000</v>
      </c>
      <c r="J456" t="s">
        <v>14</v>
      </c>
    </row>
    <row r="457" spans="1:10" x14ac:dyDescent="0.35">
      <c r="A457" t="s">
        <v>54</v>
      </c>
      <c r="B457" t="s">
        <v>92</v>
      </c>
      <c r="C457" t="s">
        <v>104</v>
      </c>
      <c r="D457">
        <v>2018</v>
      </c>
      <c r="E457">
        <v>96.67</v>
      </c>
      <c r="F457">
        <v>87.33</v>
      </c>
      <c r="G457">
        <v>0.59371499999999999</v>
      </c>
      <c r="H457">
        <v>4</v>
      </c>
      <c r="I457">
        <v>156000</v>
      </c>
      <c r="J457" t="s">
        <v>14</v>
      </c>
    </row>
    <row r="458" spans="1:10" x14ac:dyDescent="0.35">
      <c r="A458" t="s">
        <v>54</v>
      </c>
      <c r="B458" t="s">
        <v>92</v>
      </c>
      <c r="C458" t="s">
        <v>104</v>
      </c>
      <c r="D458">
        <v>2019</v>
      </c>
      <c r="E458">
        <v>97.33</v>
      </c>
      <c r="F458">
        <v>87.67</v>
      </c>
      <c r="G458">
        <v>0.60030099999999997</v>
      </c>
      <c r="H458">
        <v>4.0199999999999996</v>
      </c>
      <c r="I458">
        <v>156000</v>
      </c>
      <c r="J458" t="s">
        <v>14</v>
      </c>
    </row>
    <row r="459" spans="1:10" x14ac:dyDescent="0.35">
      <c r="A459" t="s">
        <v>54</v>
      </c>
      <c r="B459" t="s">
        <v>92</v>
      </c>
      <c r="C459" t="s">
        <v>104</v>
      </c>
      <c r="D459">
        <v>2020</v>
      </c>
      <c r="E459">
        <v>98</v>
      </c>
      <c r="F459">
        <v>88.67</v>
      </c>
      <c r="G459">
        <v>0.60706499999999997</v>
      </c>
      <c r="H459">
        <v>2.91</v>
      </c>
      <c r="I459">
        <v>156000</v>
      </c>
      <c r="J459" t="s">
        <v>14</v>
      </c>
    </row>
    <row r="460" spans="1:10" x14ac:dyDescent="0.35">
      <c r="A460" t="s">
        <v>54</v>
      </c>
      <c r="B460" t="s">
        <v>92</v>
      </c>
      <c r="C460" t="s">
        <v>105</v>
      </c>
      <c r="D460">
        <v>2015</v>
      </c>
      <c r="E460">
        <v>96.67</v>
      </c>
      <c r="F460">
        <v>96.33</v>
      </c>
      <c r="G460">
        <v>3.4028179999999999</v>
      </c>
      <c r="H460">
        <v>53.27</v>
      </c>
      <c r="I460">
        <v>175020</v>
      </c>
      <c r="J460">
        <v>7.49</v>
      </c>
    </row>
    <row r="461" spans="1:10" x14ac:dyDescent="0.35">
      <c r="A461" t="s">
        <v>54</v>
      </c>
      <c r="B461" t="s">
        <v>92</v>
      </c>
      <c r="C461" t="s">
        <v>105</v>
      </c>
      <c r="D461">
        <v>2016</v>
      </c>
      <c r="E461">
        <v>97.33</v>
      </c>
      <c r="F461">
        <v>96.33</v>
      </c>
      <c r="G461">
        <v>3.4137659999999999</v>
      </c>
      <c r="H461">
        <v>57.24</v>
      </c>
      <c r="I461">
        <v>175020</v>
      </c>
      <c r="J461">
        <v>7.84</v>
      </c>
    </row>
    <row r="462" spans="1:10" x14ac:dyDescent="0.35">
      <c r="A462" t="s">
        <v>54</v>
      </c>
      <c r="B462" t="s">
        <v>92</v>
      </c>
      <c r="C462" t="s">
        <v>105</v>
      </c>
      <c r="D462">
        <v>2017</v>
      </c>
      <c r="E462">
        <v>98</v>
      </c>
      <c r="F462">
        <v>96.67</v>
      </c>
      <c r="G462">
        <v>3.4222000000000001</v>
      </c>
      <c r="H462">
        <v>64.23</v>
      </c>
      <c r="I462">
        <v>175020</v>
      </c>
      <c r="J462">
        <v>7.89</v>
      </c>
    </row>
    <row r="463" spans="1:10" x14ac:dyDescent="0.35">
      <c r="A463" t="s">
        <v>54</v>
      </c>
      <c r="B463" t="s">
        <v>92</v>
      </c>
      <c r="C463" t="s">
        <v>105</v>
      </c>
      <c r="D463">
        <v>2018</v>
      </c>
      <c r="E463">
        <v>98</v>
      </c>
      <c r="F463">
        <v>97</v>
      </c>
      <c r="G463">
        <v>3.4270420000000001</v>
      </c>
      <c r="H463">
        <v>64.52</v>
      </c>
      <c r="I463">
        <v>175020</v>
      </c>
      <c r="J463">
        <v>8.34</v>
      </c>
    </row>
    <row r="464" spans="1:10" x14ac:dyDescent="0.35">
      <c r="A464" t="s">
        <v>54</v>
      </c>
      <c r="B464" t="s">
        <v>92</v>
      </c>
      <c r="C464" t="s">
        <v>105</v>
      </c>
      <c r="D464">
        <v>2019</v>
      </c>
      <c r="E464">
        <v>98</v>
      </c>
      <c r="F464">
        <v>98</v>
      </c>
      <c r="G464">
        <v>3.4284089999999998</v>
      </c>
      <c r="H464">
        <v>61.23</v>
      </c>
      <c r="I464">
        <v>175020</v>
      </c>
      <c r="J464">
        <v>8.73</v>
      </c>
    </row>
    <row r="465" spans="1:10" x14ac:dyDescent="0.35">
      <c r="A465" t="s">
        <v>54</v>
      </c>
      <c r="B465" t="s">
        <v>92</v>
      </c>
      <c r="C465" t="s">
        <v>105</v>
      </c>
      <c r="D465">
        <v>2020</v>
      </c>
      <c r="E465">
        <v>98</v>
      </c>
      <c r="F465">
        <v>98.33</v>
      </c>
      <c r="G465">
        <v>3.4290859999999999</v>
      </c>
      <c r="H465">
        <v>53.56</v>
      </c>
      <c r="I465">
        <v>175020</v>
      </c>
      <c r="J465">
        <v>10.33</v>
      </c>
    </row>
    <row r="466" spans="1:10" x14ac:dyDescent="0.35">
      <c r="A466" t="s">
        <v>54</v>
      </c>
      <c r="B466" t="s">
        <v>92</v>
      </c>
      <c r="C466" t="s">
        <v>106</v>
      </c>
      <c r="D466">
        <v>2015</v>
      </c>
      <c r="E466">
        <v>95</v>
      </c>
      <c r="F466">
        <v>95</v>
      </c>
      <c r="G466" t="s">
        <v>14</v>
      </c>
      <c r="H466" t="s">
        <v>14</v>
      </c>
      <c r="I466" t="s">
        <v>14</v>
      </c>
      <c r="J466" t="s">
        <v>14</v>
      </c>
    </row>
    <row r="467" spans="1:10" x14ac:dyDescent="0.35">
      <c r="A467" t="s">
        <v>54</v>
      </c>
      <c r="B467" t="s">
        <v>92</v>
      </c>
      <c r="C467" t="s">
        <v>106</v>
      </c>
      <c r="D467">
        <v>2016</v>
      </c>
      <c r="E467">
        <v>94</v>
      </c>
      <c r="F467">
        <v>95</v>
      </c>
      <c r="G467" t="s">
        <v>14</v>
      </c>
      <c r="H467" t="s">
        <v>14</v>
      </c>
      <c r="I467" t="s">
        <v>14</v>
      </c>
      <c r="J467" t="s">
        <v>14</v>
      </c>
    </row>
    <row r="468" spans="1:10" x14ac:dyDescent="0.35">
      <c r="A468" t="s">
        <v>54</v>
      </c>
      <c r="B468" t="s">
        <v>92</v>
      </c>
      <c r="C468" t="s">
        <v>106</v>
      </c>
      <c r="D468">
        <v>2017</v>
      </c>
      <c r="E468">
        <v>94</v>
      </c>
      <c r="F468">
        <v>95</v>
      </c>
      <c r="G468" t="s">
        <v>14</v>
      </c>
      <c r="H468" t="s">
        <v>14</v>
      </c>
      <c r="I468" t="s">
        <v>14</v>
      </c>
      <c r="J468" t="s">
        <v>14</v>
      </c>
    </row>
    <row r="469" spans="1:10" x14ac:dyDescent="0.35">
      <c r="A469" t="s">
        <v>54</v>
      </c>
      <c r="B469" t="s">
        <v>92</v>
      </c>
      <c r="C469" t="s">
        <v>106</v>
      </c>
      <c r="D469">
        <v>2018</v>
      </c>
      <c r="E469">
        <v>94</v>
      </c>
      <c r="F469">
        <v>95</v>
      </c>
      <c r="G469" t="s">
        <v>14</v>
      </c>
      <c r="H469" t="s">
        <v>14</v>
      </c>
      <c r="I469" t="s">
        <v>14</v>
      </c>
      <c r="J469" t="s">
        <v>14</v>
      </c>
    </row>
    <row r="470" spans="1:10" x14ac:dyDescent="0.35">
      <c r="A470" t="s">
        <v>54</v>
      </c>
      <c r="B470" t="s">
        <v>92</v>
      </c>
      <c r="C470" t="s">
        <v>106</v>
      </c>
      <c r="D470">
        <v>2019</v>
      </c>
      <c r="E470">
        <v>94</v>
      </c>
      <c r="F470">
        <v>96</v>
      </c>
      <c r="G470" t="s">
        <v>14</v>
      </c>
      <c r="H470" t="s">
        <v>14</v>
      </c>
      <c r="I470" t="s">
        <v>14</v>
      </c>
      <c r="J470" t="s">
        <v>14</v>
      </c>
    </row>
    <row r="471" spans="1:10" x14ac:dyDescent="0.35">
      <c r="A471" t="s">
        <v>54</v>
      </c>
      <c r="B471" t="s">
        <v>92</v>
      </c>
      <c r="C471" t="s">
        <v>106</v>
      </c>
      <c r="D471">
        <v>2020</v>
      </c>
      <c r="E471">
        <v>94</v>
      </c>
      <c r="F471">
        <v>96</v>
      </c>
      <c r="G471" t="s">
        <v>14</v>
      </c>
      <c r="H471" t="s">
        <v>14</v>
      </c>
      <c r="I471" t="s">
        <v>14</v>
      </c>
      <c r="J471" t="s">
        <v>14</v>
      </c>
    </row>
    <row r="472" spans="1:10" x14ac:dyDescent="0.35">
      <c r="A472" t="s">
        <v>107</v>
      </c>
      <c r="B472" t="s">
        <v>108</v>
      </c>
      <c r="C472" t="s">
        <v>109</v>
      </c>
      <c r="D472">
        <v>2015</v>
      </c>
      <c r="E472">
        <v>92</v>
      </c>
      <c r="F472">
        <v>85</v>
      </c>
      <c r="G472">
        <v>39.543154000000001</v>
      </c>
      <c r="H472">
        <v>165.98</v>
      </c>
      <c r="I472">
        <v>2381741</v>
      </c>
      <c r="J472">
        <v>11.21</v>
      </c>
    </row>
    <row r="473" spans="1:10" x14ac:dyDescent="0.35">
      <c r="A473" t="s">
        <v>107</v>
      </c>
      <c r="B473" t="s">
        <v>108</v>
      </c>
      <c r="C473" t="s">
        <v>109</v>
      </c>
      <c r="D473">
        <v>2016</v>
      </c>
      <c r="E473">
        <v>93</v>
      </c>
      <c r="F473">
        <v>85.33</v>
      </c>
      <c r="G473">
        <v>40.339328999999999</v>
      </c>
      <c r="H473">
        <v>160.03</v>
      </c>
      <c r="I473">
        <v>2381741</v>
      </c>
      <c r="J473">
        <v>10.199999999999999</v>
      </c>
    </row>
    <row r="474" spans="1:10" x14ac:dyDescent="0.35">
      <c r="A474" t="s">
        <v>107</v>
      </c>
      <c r="B474" t="s">
        <v>108</v>
      </c>
      <c r="C474" t="s">
        <v>109</v>
      </c>
      <c r="D474">
        <v>2017</v>
      </c>
      <c r="E474">
        <v>93</v>
      </c>
      <c r="F474">
        <v>84.67</v>
      </c>
      <c r="G474">
        <v>41.136546000000003</v>
      </c>
      <c r="H474">
        <v>170.1</v>
      </c>
      <c r="I474">
        <v>2381741</v>
      </c>
      <c r="J474">
        <v>12</v>
      </c>
    </row>
    <row r="475" spans="1:10" x14ac:dyDescent="0.35">
      <c r="A475" t="s">
        <v>107</v>
      </c>
      <c r="B475" t="s">
        <v>108</v>
      </c>
      <c r="C475" t="s">
        <v>109</v>
      </c>
      <c r="D475">
        <v>2018</v>
      </c>
      <c r="E475">
        <v>93</v>
      </c>
      <c r="F475">
        <v>84.67</v>
      </c>
      <c r="G475">
        <v>41.927007000000003</v>
      </c>
      <c r="H475">
        <v>174.91</v>
      </c>
      <c r="I475">
        <v>2381741</v>
      </c>
      <c r="J475" t="s">
        <v>14</v>
      </c>
    </row>
    <row r="476" spans="1:10" x14ac:dyDescent="0.35">
      <c r="A476" t="s">
        <v>107</v>
      </c>
      <c r="B476" t="s">
        <v>108</v>
      </c>
      <c r="C476" t="s">
        <v>109</v>
      </c>
      <c r="D476">
        <v>2019</v>
      </c>
      <c r="E476">
        <v>93.33</v>
      </c>
      <c r="F476">
        <v>84.67</v>
      </c>
      <c r="G476">
        <v>42.705368</v>
      </c>
      <c r="H476">
        <v>171.77</v>
      </c>
      <c r="I476">
        <v>2381741</v>
      </c>
      <c r="J476" t="s">
        <v>14</v>
      </c>
    </row>
    <row r="477" spans="1:10" x14ac:dyDescent="0.35">
      <c r="A477" t="s">
        <v>107</v>
      </c>
      <c r="B477" t="s">
        <v>108</v>
      </c>
      <c r="C477" t="s">
        <v>109</v>
      </c>
      <c r="D477">
        <v>2020</v>
      </c>
      <c r="E477">
        <v>93.33</v>
      </c>
      <c r="F477">
        <v>84.33</v>
      </c>
      <c r="G477">
        <v>43.451666000000003</v>
      </c>
      <c r="H477">
        <v>145.01</v>
      </c>
      <c r="I477">
        <v>2381741</v>
      </c>
      <c r="J477" t="s">
        <v>14</v>
      </c>
    </row>
    <row r="478" spans="1:10" x14ac:dyDescent="0.35">
      <c r="A478" t="s">
        <v>107</v>
      </c>
      <c r="B478" t="s">
        <v>108</v>
      </c>
      <c r="C478" t="s">
        <v>110</v>
      </c>
      <c r="D478">
        <v>2015</v>
      </c>
      <c r="E478">
        <v>99.33</v>
      </c>
      <c r="F478">
        <v>96.33</v>
      </c>
      <c r="G478" t="s">
        <v>14</v>
      </c>
      <c r="H478" t="s">
        <v>14</v>
      </c>
      <c r="I478" t="s">
        <v>14</v>
      </c>
      <c r="J478" t="s">
        <v>14</v>
      </c>
    </row>
    <row r="479" spans="1:10" x14ac:dyDescent="0.35">
      <c r="A479" t="s">
        <v>107</v>
      </c>
      <c r="B479" t="s">
        <v>108</v>
      </c>
      <c r="C479" t="s">
        <v>110</v>
      </c>
      <c r="D479">
        <v>2016</v>
      </c>
      <c r="E479">
        <v>99.33</v>
      </c>
      <c r="F479">
        <v>96.33</v>
      </c>
      <c r="G479" t="s">
        <v>14</v>
      </c>
      <c r="H479" t="s">
        <v>14</v>
      </c>
      <c r="I479" t="s">
        <v>14</v>
      </c>
      <c r="J479" t="s">
        <v>14</v>
      </c>
    </row>
    <row r="480" spans="1:10" x14ac:dyDescent="0.35">
      <c r="A480" t="s">
        <v>107</v>
      </c>
      <c r="B480" t="s">
        <v>108</v>
      </c>
      <c r="C480" t="s">
        <v>110</v>
      </c>
      <c r="D480">
        <v>2017</v>
      </c>
      <c r="E480">
        <v>99.33</v>
      </c>
      <c r="F480">
        <v>96.33</v>
      </c>
      <c r="G480" t="s">
        <v>14</v>
      </c>
      <c r="H480" t="s">
        <v>14</v>
      </c>
      <c r="I480" t="s">
        <v>14</v>
      </c>
      <c r="J480" t="s">
        <v>14</v>
      </c>
    </row>
    <row r="481" spans="1:10" x14ac:dyDescent="0.35">
      <c r="A481" t="s">
        <v>107</v>
      </c>
      <c r="B481" t="s">
        <v>108</v>
      </c>
      <c r="C481" t="s">
        <v>110</v>
      </c>
      <c r="D481">
        <v>2018</v>
      </c>
      <c r="E481">
        <v>99.33</v>
      </c>
      <c r="F481">
        <v>97</v>
      </c>
      <c r="G481" t="s">
        <v>14</v>
      </c>
      <c r="H481" t="s">
        <v>14</v>
      </c>
      <c r="I481" t="s">
        <v>14</v>
      </c>
      <c r="J481" t="s">
        <v>14</v>
      </c>
    </row>
    <row r="482" spans="1:10" x14ac:dyDescent="0.35">
      <c r="A482" t="s">
        <v>107</v>
      </c>
      <c r="B482" t="s">
        <v>108</v>
      </c>
      <c r="C482" t="s">
        <v>110</v>
      </c>
      <c r="D482">
        <v>2019</v>
      </c>
      <c r="E482">
        <v>99.33</v>
      </c>
      <c r="F482">
        <v>97</v>
      </c>
      <c r="G482" t="s">
        <v>14</v>
      </c>
      <c r="H482" t="s">
        <v>14</v>
      </c>
      <c r="I482" t="s">
        <v>14</v>
      </c>
      <c r="J482" t="s">
        <v>14</v>
      </c>
    </row>
    <row r="483" spans="1:10" x14ac:dyDescent="0.35">
      <c r="A483" t="s">
        <v>107</v>
      </c>
      <c r="B483" t="s">
        <v>108</v>
      </c>
      <c r="C483" t="s">
        <v>110</v>
      </c>
      <c r="D483">
        <v>2020</v>
      </c>
      <c r="E483">
        <v>99.33</v>
      </c>
      <c r="F483">
        <v>97.67</v>
      </c>
      <c r="G483" t="s">
        <v>14</v>
      </c>
      <c r="H483" t="s">
        <v>14</v>
      </c>
      <c r="I483" t="s">
        <v>14</v>
      </c>
      <c r="J483" t="s">
        <v>14</v>
      </c>
    </row>
    <row r="484" spans="1:10" x14ac:dyDescent="0.35">
      <c r="A484" t="s">
        <v>107</v>
      </c>
      <c r="B484" t="s">
        <v>108</v>
      </c>
      <c r="C484" t="s">
        <v>111</v>
      </c>
      <c r="D484">
        <v>2015</v>
      </c>
      <c r="E484">
        <v>97</v>
      </c>
      <c r="F484">
        <v>92</v>
      </c>
      <c r="G484">
        <v>6.1922350000000002</v>
      </c>
      <c r="H484">
        <v>48.72</v>
      </c>
      <c r="I484">
        <v>1759540</v>
      </c>
      <c r="J484" t="s">
        <v>14</v>
      </c>
    </row>
    <row r="485" spans="1:10" x14ac:dyDescent="0.35">
      <c r="A485" t="s">
        <v>107</v>
      </c>
      <c r="B485" t="s">
        <v>108</v>
      </c>
      <c r="C485" t="s">
        <v>111</v>
      </c>
      <c r="D485">
        <v>2016</v>
      </c>
      <c r="E485">
        <v>98</v>
      </c>
      <c r="F485">
        <v>92</v>
      </c>
      <c r="G485">
        <v>6.2821959999999999</v>
      </c>
      <c r="H485">
        <v>49.91</v>
      </c>
      <c r="I485">
        <v>1759540</v>
      </c>
      <c r="J485" t="s">
        <v>14</v>
      </c>
    </row>
    <row r="486" spans="1:10" x14ac:dyDescent="0.35">
      <c r="A486" t="s">
        <v>107</v>
      </c>
      <c r="B486" t="s">
        <v>108</v>
      </c>
      <c r="C486" t="s">
        <v>111</v>
      </c>
      <c r="D486">
        <v>2017</v>
      </c>
      <c r="E486">
        <v>99</v>
      </c>
      <c r="F486">
        <v>92</v>
      </c>
      <c r="G486">
        <v>6.3782610000000002</v>
      </c>
      <c r="H486">
        <v>67.16</v>
      </c>
      <c r="I486">
        <v>1759540</v>
      </c>
      <c r="J486" t="s">
        <v>14</v>
      </c>
    </row>
    <row r="487" spans="1:10" x14ac:dyDescent="0.35">
      <c r="A487" t="s">
        <v>107</v>
      </c>
      <c r="B487" t="s">
        <v>108</v>
      </c>
      <c r="C487" t="s">
        <v>111</v>
      </c>
      <c r="D487">
        <v>2018</v>
      </c>
      <c r="E487">
        <v>100</v>
      </c>
      <c r="F487">
        <v>92</v>
      </c>
      <c r="G487">
        <v>6.4777930000000001</v>
      </c>
      <c r="H487">
        <v>76.680000000000007</v>
      </c>
      <c r="I487">
        <v>1759540</v>
      </c>
      <c r="J487" t="s">
        <v>14</v>
      </c>
    </row>
    <row r="488" spans="1:10" x14ac:dyDescent="0.35">
      <c r="A488" t="s">
        <v>107</v>
      </c>
      <c r="B488" t="s">
        <v>108</v>
      </c>
      <c r="C488" t="s">
        <v>111</v>
      </c>
      <c r="D488">
        <v>2019</v>
      </c>
      <c r="E488">
        <v>100</v>
      </c>
      <c r="F488">
        <v>92</v>
      </c>
      <c r="G488">
        <v>6.5690879999999998</v>
      </c>
      <c r="H488">
        <v>69.25</v>
      </c>
      <c r="I488">
        <v>1759540</v>
      </c>
      <c r="J488" t="s">
        <v>14</v>
      </c>
    </row>
    <row r="489" spans="1:10" x14ac:dyDescent="0.35">
      <c r="A489" t="s">
        <v>107</v>
      </c>
      <c r="B489" t="s">
        <v>108</v>
      </c>
      <c r="C489" t="s">
        <v>111</v>
      </c>
      <c r="D489">
        <v>2020</v>
      </c>
      <c r="E489">
        <v>100</v>
      </c>
      <c r="F489">
        <v>92</v>
      </c>
      <c r="G489">
        <v>6.6539419999999998</v>
      </c>
      <c r="H489">
        <v>50.36</v>
      </c>
      <c r="I489">
        <v>1759540</v>
      </c>
      <c r="J489" t="s">
        <v>14</v>
      </c>
    </row>
    <row r="490" spans="1:10" x14ac:dyDescent="0.35">
      <c r="A490" t="s">
        <v>107</v>
      </c>
      <c r="B490" t="s">
        <v>108</v>
      </c>
      <c r="C490" t="s">
        <v>112</v>
      </c>
      <c r="D490">
        <v>2015</v>
      </c>
      <c r="E490">
        <v>81.33</v>
      </c>
      <c r="F490">
        <v>80.67</v>
      </c>
      <c r="G490">
        <v>34.680458000000002</v>
      </c>
      <c r="H490">
        <v>110.41</v>
      </c>
      <c r="I490">
        <v>446300</v>
      </c>
      <c r="J490">
        <v>9.4600000000000009</v>
      </c>
    </row>
    <row r="491" spans="1:10" x14ac:dyDescent="0.35">
      <c r="A491" t="s">
        <v>107</v>
      </c>
      <c r="B491" t="s">
        <v>108</v>
      </c>
      <c r="C491" t="s">
        <v>112</v>
      </c>
      <c r="D491">
        <v>2016</v>
      </c>
      <c r="E491">
        <v>83</v>
      </c>
      <c r="F491">
        <v>81.67</v>
      </c>
      <c r="G491">
        <v>35.107264000000001</v>
      </c>
      <c r="H491">
        <v>111.57</v>
      </c>
      <c r="I491">
        <v>446300</v>
      </c>
      <c r="J491">
        <v>9.3000000000000007</v>
      </c>
    </row>
    <row r="492" spans="1:10" x14ac:dyDescent="0.35">
      <c r="A492" t="s">
        <v>107</v>
      </c>
      <c r="B492" t="s">
        <v>108</v>
      </c>
      <c r="C492" t="s">
        <v>112</v>
      </c>
      <c r="D492">
        <v>2017</v>
      </c>
      <c r="E492">
        <v>84</v>
      </c>
      <c r="F492">
        <v>82</v>
      </c>
      <c r="G492">
        <v>35.528115</v>
      </c>
      <c r="H492">
        <v>118.54</v>
      </c>
      <c r="I492">
        <v>446300</v>
      </c>
      <c r="J492" t="s">
        <v>14</v>
      </c>
    </row>
    <row r="493" spans="1:10" x14ac:dyDescent="0.35">
      <c r="A493" t="s">
        <v>107</v>
      </c>
      <c r="B493" t="s">
        <v>108</v>
      </c>
      <c r="C493" t="s">
        <v>112</v>
      </c>
      <c r="D493">
        <v>2018</v>
      </c>
      <c r="E493">
        <v>85.67</v>
      </c>
      <c r="F493">
        <v>83</v>
      </c>
      <c r="G493">
        <v>35.927511000000003</v>
      </c>
      <c r="H493">
        <v>127.34</v>
      </c>
      <c r="I493">
        <v>446300</v>
      </c>
      <c r="J493" t="s">
        <v>14</v>
      </c>
    </row>
    <row r="494" spans="1:10" x14ac:dyDescent="0.35">
      <c r="A494" t="s">
        <v>107</v>
      </c>
      <c r="B494" t="s">
        <v>108</v>
      </c>
      <c r="C494" t="s">
        <v>112</v>
      </c>
      <c r="D494">
        <v>2019</v>
      </c>
      <c r="E494">
        <v>87.33</v>
      </c>
      <c r="F494">
        <v>84</v>
      </c>
      <c r="G494">
        <v>36.304408000000002</v>
      </c>
      <c r="H494">
        <v>128.91999999999999</v>
      </c>
      <c r="I494">
        <v>446300</v>
      </c>
      <c r="J494" t="s">
        <v>14</v>
      </c>
    </row>
    <row r="495" spans="1:10" x14ac:dyDescent="0.35">
      <c r="A495" t="s">
        <v>107</v>
      </c>
      <c r="B495" t="s">
        <v>108</v>
      </c>
      <c r="C495" t="s">
        <v>112</v>
      </c>
      <c r="D495">
        <v>2020</v>
      </c>
      <c r="E495">
        <v>88.33</v>
      </c>
      <c r="F495">
        <v>84.67</v>
      </c>
      <c r="G495">
        <v>36.688772</v>
      </c>
      <c r="H495">
        <v>121.35</v>
      </c>
      <c r="I495">
        <v>446300</v>
      </c>
      <c r="J495" t="s">
        <v>14</v>
      </c>
    </row>
    <row r="496" spans="1:10" x14ac:dyDescent="0.35">
      <c r="A496" t="s">
        <v>107</v>
      </c>
      <c r="B496" t="s">
        <v>108</v>
      </c>
      <c r="C496" t="s">
        <v>113</v>
      </c>
      <c r="D496">
        <v>2015</v>
      </c>
      <c r="E496">
        <v>61.33</v>
      </c>
      <c r="F496">
        <v>38.67</v>
      </c>
      <c r="G496">
        <v>38.171177999999998</v>
      </c>
      <c r="H496">
        <v>84.99</v>
      </c>
      <c r="I496">
        <v>1868000</v>
      </c>
      <c r="J496" t="s">
        <v>14</v>
      </c>
    </row>
    <row r="497" spans="1:10" x14ac:dyDescent="0.35">
      <c r="A497" t="s">
        <v>107</v>
      </c>
      <c r="B497" t="s">
        <v>108</v>
      </c>
      <c r="C497" t="s">
        <v>113</v>
      </c>
      <c r="D497">
        <v>2016</v>
      </c>
      <c r="E497">
        <v>62.33</v>
      </c>
      <c r="F497">
        <v>40</v>
      </c>
      <c r="G497">
        <v>39.377169000000002</v>
      </c>
      <c r="H497">
        <v>102.94</v>
      </c>
      <c r="I497">
        <v>1868000</v>
      </c>
      <c r="J497" t="s">
        <v>14</v>
      </c>
    </row>
    <row r="498" spans="1:10" x14ac:dyDescent="0.35">
      <c r="A498" t="s">
        <v>107</v>
      </c>
      <c r="B498" t="s">
        <v>108</v>
      </c>
      <c r="C498" t="s">
        <v>113</v>
      </c>
      <c r="D498">
        <v>2017</v>
      </c>
      <c r="E498">
        <v>62.33</v>
      </c>
      <c r="F498">
        <v>40.33</v>
      </c>
      <c r="G498">
        <v>40.679828000000001</v>
      </c>
      <c r="H498">
        <v>129.72</v>
      </c>
      <c r="I498">
        <v>1868000</v>
      </c>
      <c r="J498" t="s">
        <v>14</v>
      </c>
    </row>
    <row r="499" spans="1:10" x14ac:dyDescent="0.35">
      <c r="A499" t="s">
        <v>107</v>
      </c>
      <c r="B499" t="s">
        <v>108</v>
      </c>
      <c r="C499" t="s">
        <v>113</v>
      </c>
      <c r="D499">
        <v>2018</v>
      </c>
      <c r="E499">
        <v>62.33</v>
      </c>
      <c r="F499">
        <v>40.33</v>
      </c>
      <c r="G499">
        <v>41.999059000000003</v>
      </c>
      <c r="H499">
        <v>32.33</v>
      </c>
      <c r="I499">
        <v>1868000</v>
      </c>
      <c r="J499" t="s">
        <v>14</v>
      </c>
    </row>
    <row r="500" spans="1:10" x14ac:dyDescent="0.35">
      <c r="A500" t="s">
        <v>107</v>
      </c>
      <c r="B500" t="s">
        <v>108</v>
      </c>
      <c r="C500" t="s">
        <v>113</v>
      </c>
      <c r="D500">
        <v>2019</v>
      </c>
      <c r="E500">
        <v>62.33</v>
      </c>
      <c r="F500">
        <v>40.33</v>
      </c>
      <c r="G500">
        <v>43.232092999999999</v>
      </c>
      <c r="H500">
        <v>32.340000000000003</v>
      </c>
      <c r="I500">
        <v>1868000</v>
      </c>
      <c r="J500" t="s">
        <v>14</v>
      </c>
    </row>
    <row r="501" spans="1:10" x14ac:dyDescent="0.35">
      <c r="A501" t="s">
        <v>107</v>
      </c>
      <c r="B501" t="s">
        <v>108</v>
      </c>
      <c r="C501" t="s">
        <v>113</v>
      </c>
      <c r="D501">
        <v>2020</v>
      </c>
      <c r="E501">
        <v>62.33</v>
      </c>
      <c r="F501">
        <v>40.33</v>
      </c>
      <c r="G501">
        <v>44.440486</v>
      </c>
      <c r="H501">
        <v>27.03</v>
      </c>
      <c r="I501">
        <v>1868000</v>
      </c>
      <c r="J501" t="s">
        <v>14</v>
      </c>
    </row>
    <row r="502" spans="1:10" x14ac:dyDescent="0.35">
      <c r="A502" t="s">
        <v>107</v>
      </c>
      <c r="B502" t="s">
        <v>108</v>
      </c>
      <c r="C502" t="s">
        <v>114</v>
      </c>
      <c r="D502">
        <v>2015</v>
      </c>
      <c r="E502">
        <v>93.33</v>
      </c>
      <c r="F502">
        <v>90.33</v>
      </c>
      <c r="G502">
        <v>11.557779</v>
      </c>
      <c r="H502">
        <v>45.78</v>
      </c>
      <c r="I502">
        <v>155360</v>
      </c>
      <c r="J502">
        <v>15.16</v>
      </c>
    </row>
    <row r="503" spans="1:10" x14ac:dyDescent="0.35">
      <c r="A503" t="s">
        <v>107</v>
      </c>
      <c r="B503" t="s">
        <v>108</v>
      </c>
      <c r="C503" t="s">
        <v>114</v>
      </c>
      <c r="D503">
        <v>2016</v>
      </c>
      <c r="E503">
        <v>93.67</v>
      </c>
      <c r="F503">
        <v>92</v>
      </c>
      <c r="G503">
        <v>11.685667</v>
      </c>
      <c r="H503">
        <v>44.36</v>
      </c>
      <c r="I503">
        <v>155360</v>
      </c>
      <c r="J503">
        <v>15.56</v>
      </c>
    </row>
    <row r="504" spans="1:10" x14ac:dyDescent="0.35">
      <c r="A504" t="s">
        <v>107</v>
      </c>
      <c r="B504" t="s">
        <v>108</v>
      </c>
      <c r="C504" t="s">
        <v>114</v>
      </c>
      <c r="D504">
        <v>2017</v>
      </c>
      <c r="E504">
        <v>94.67</v>
      </c>
      <c r="F504">
        <v>93</v>
      </c>
      <c r="G504">
        <v>11.811443000000001</v>
      </c>
      <c r="H504">
        <v>42.16</v>
      </c>
      <c r="I504">
        <v>155360</v>
      </c>
      <c r="J504">
        <v>15.33</v>
      </c>
    </row>
    <row r="505" spans="1:10" x14ac:dyDescent="0.35">
      <c r="A505" t="s">
        <v>107</v>
      </c>
      <c r="B505" t="s">
        <v>108</v>
      </c>
      <c r="C505" t="s">
        <v>114</v>
      </c>
      <c r="D505">
        <v>2018</v>
      </c>
      <c r="E505">
        <v>95.67</v>
      </c>
      <c r="F505">
        <v>94.33</v>
      </c>
      <c r="G505">
        <v>11.933040999999999</v>
      </c>
      <c r="H505">
        <v>42.69</v>
      </c>
      <c r="I505">
        <v>155360</v>
      </c>
      <c r="J505">
        <v>15.46</v>
      </c>
    </row>
    <row r="506" spans="1:10" x14ac:dyDescent="0.35">
      <c r="A506" t="s">
        <v>107</v>
      </c>
      <c r="B506" t="s">
        <v>108</v>
      </c>
      <c r="C506" t="s">
        <v>114</v>
      </c>
      <c r="D506">
        <v>2019</v>
      </c>
      <c r="E506">
        <v>96</v>
      </c>
      <c r="F506">
        <v>95.67</v>
      </c>
      <c r="G506">
        <v>12.049314000000001</v>
      </c>
      <c r="H506">
        <v>41.91</v>
      </c>
      <c r="I506">
        <v>155360</v>
      </c>
      <c r="J506">
        <v>15.13</v>
      </c>
    </row>
    <row r="507" spans="1:10" x14ac:dyDescent="0.35">
      <c r="A507" t="s">
        <v>107</v>
      </c>
      <c r="B507" t="s">
        <v>108</v>
      </c>
      <c r="C507" t="s">
        <v>114</v>
      </c>
      <c r="D507">
        <v>2020</v>
      </c>
      <c r="E507">
        <v>97</v>
      </c>
      <c r="F507">
        <v>97.33</v>
      </c>
      <c r="G507">
        <v>12.161723</v>
      </c>
      <c r="H507">
        <v>42.54</v>
      </c>
      <c r="I507">
        <v>155360</v>
      </c>
      <c r="J507" t="s">
        <v>14</v>
      </c>
    </row>
    <row r="508" spans="1:10" x14ac:dyDescent="0.35">
      <c r="A508" t="s">
        <v>107</v>
      </c>
      <c r="B508" t="s">
        <v>115</v>
      </c>
      <c r="C508" t="s">
        <v>116</v>
      </c>
      <c r="D508">
        <v>2015</v>
      </c>
      <c r="E508">
        <v>99.67</v>
      </c>
      <c r="F508">
        <v>91.33</v>
      </c>
      <c r="G508">
        <v>2.8785949999999998</v>
      </c>
      <c r="H508">
        <v>10.55</v>
      </c>
      <c r="I508">
        <v>28470</v>
      </c>
      <c r="J508">
        <v>18.260000000000002</v>
      </c>
    </row>
    <row r="509" spans="1:10" x14ac:dyDescent="0.35">
      <c r="A509" t="s">
        <v>107</v>
      </c>
      <c r="B509" t="s">
        <v>115</v>
      </c>
      <c r="C509" t="s">
        <v>116</v>
      </c>
      <c r="D509">
        <v>2016</v>
      </c>
      <c r="E509">
        <v>99.67</v>
      </c>
      <c r="F509">
        <v>91.67</v>
      </c>
      <c r="G509">
        <v>2.8658350000000001</v>
      </c>
      <c r="H509">
        <v>10.55</v>
      </c>
      <c r="I509">
        <v>28470</v>
      </c>
      <c r="J509">
        <v>17.62</v>
      </c>
    </row>
    <row r="510" spans="1:10" x14ac:dyDescent="0.35">
      <c r="A510" t="s">
        <v>107</v>
      </c>
      <c r="B510" t="s">
        <v>115</v>
      </c>
      <c r="C510" t="s">
        <v>116</v>
      </c>
      <c r="D510">
        <v>2017</v>
      </c>
      <c r="E510">
        <v>100</v>
      </c>
      <c r="F510">
        <v>92</v>
      </c>
      <c r="G510">
        <v>2.8519230000000002</v>
      </c>
      <c r="H510">
        <v>11.53</v>
      </c>
      <c r="I510">
        <v>28470</v>
      </c>
      <c r="J510">
        <v>17.7</v>
      </c>
    </row>
    <row r="511" spans="1:10" x14ac:dyDescent="0.35">
      <c r="A511" t="s">
        <v>107</v>
      </c>
      <c r="B511" t="s">
        <v>115</v>
      </c>
      <c r="C511" t="s">
        <v>116</v>
      </c>
      <c r="D511">
        <v>2018</v>
      </c>
      <c r="E511">
        <v>100</v>
      </c>
      <c r="F511">
        <v>92.33</v>
      </c>
      <c r="G511">
        <v>2.836557</v>
      </c>
      <c r="H511">
        <v>12.46</v>
      </c>
      <c r="I511">
        <v>28470</v>
      </c>
      <c r="J511">
        <v>13.21</v>
      </c>
    </row>
    <row r="512" spans="1:10" x14ac:dyDescent="0.35">
      <c r="A512" t="s">
        <v>107</v>
      </c>
      <c r="B512" t="s">
        <v>115</v>
      </c>
      <c r="C512" t="s">
        <v>116</v>
      </c>
      <c r="D512">
        <v>2019</v>
      </c>
      <c r="E512">
        <v>100</v>
      </c>
      <c r="F512">
        <v>92.33</v>
      </c>
      <c r="G512">
        <v>2.8206020000000001</v>
      </c>
      <c r="H512">
        <v>13.62</v>
      </c>
      <c r="I512">
        <v>28470</v>
      </c>
      <c r="J512">
        <v>12.2</v>
      </c>
    </row>
    <row r="513" spans="1:10" x14ac:dyDescent="0.35">
      <c r="A513" t="s">
        <v>107</v>
      </c>
      <c r="B513" t="s">
        <v>115</v>
      </c>
      <c r="C513" t="s">
        <v>116</v>
      </c>
      <c r="D513">
        <v>2020</v>
      </c>
      <c r="E513">
        <v>100</v>
      </c>
      <c r="F513">
        <v>92.33</v>
      </c>
      <c r="G513">
        <v>2.8056079999999999</v>
      </c>
      <c r="H513">
        <v>12.64</v>
      </c>
      <c r="I513">
        <v>28470</v>
      </c>
      <c r="J513">
        <v>12.18</v>
      </c>
    </row>
    <row r="514" spans="1:10" x14ac:dyDescent="0.35">
      <c r="A514" t="s">
        <v>107</v>
      </c>
      <c r="B514" t="s">
        <v>115</v>
      </c>
      <c r="C514" t="s">
        <v>117</v>
      </c>
      <c r="D514">
        <v>2015</v>
      </c>
      <c r="E514">
        <v>91.67</v>
      </c>
      <c r="F514">
        <v>96</v>
      </c>
      <c r="G514">
        <v>9.6493409999999997</v>
      </c>
      <c r="H514">
        <v>53.07</v>
      </c>
      <c r="I514">
        <v>82663</v>
      </c>
      <c r="J514">
        <v>4.96</v>
      </c>
    </row>
    <row r="515" spans="1:10" x14ac:dyDescent="0.35">
      <c r="A515" t="s">
        <v>107</v>
      </c>
      <c r="B515" t="s">
        <v>115</v>
      </c>
      <c r="C515" t="s">
        <v>117</v>
      </c>
      <c r="D515">
        <v>2016</v>
      </c>
      <c r="E515">
        <v>92.33</v>
      </c>
      <c r="F515">
        <v>96</v>
      </c>
      <c r="G515">
        <v>9.7578119999999995</v>
      </c>
      <c r="H515">
        <v>37.869999999999997</v>
      </c>
      <c r="I515">
        <v>82670</v>
      </c>
      <c r="J515">
        <v>5</v>
      </c>
    </row>
    <row r="516" spans="1:10" x14ac:dyDescent="0.35">
      <c r="A516" t="s">
        <v>107</v>
      </c>
      <c r="B516" t="s">
        <v>115</v>
      </c>
      <c r="C516" t="s">
        <v>117</v>
      </c>
      <c r="D516">
        <v>2017</v>
      </c>
      <c r="E516">
        <v>93.67</v>
      </c>
      <c r="F516">
        <v>96</v>
      </c>
      <c r="G516">
        <v>9.8540329999999994</v>
      </c>
      <c r="H516">
        <v>40.869999999999997</v>
      </c>
      <c r="I516">
        <v>82662</v>
      </c>
      <c r="J516">
        <v>4.96</v>
      </c>
    </row>
    <row r="517" spans="1:10" x14ac:dyDescent="0.35">
      <c r="A517" t="s">
        <v>107</v>
      </c>
      <c r="B517" t="s">
        <v>115</v>
      </c>
      <c r="C517" t="s">
        <v>117</v>
      </c>
      <c r="D517">
        <v>2018</v>
      </c>
      <c r="E517">
        <v>94.33</v>
      </c>
      <c r="F517">
        <v>96</v>
      </c>
      <c r="G517">
        <v>9.9397710000000004</v>
      </c>
      <c r="H517">
        <v>47.11</v>
      </c>
      <c r="I517">
        <v>82654</v>
      </c>
      <c r="J517">
        <v>4.9400000000000004</v>
      </c>
    </row>
    <row r="518" spans="1:10" x14ac:dyDescent="0.35">
      <c r="A518" t="s">
        <v>107</v>
      </c>
      <c r="B518" t="s">
        <v>115</v>
      </c>
      <c r="C518" t="s">
        <v>117</v>
      </c>
      <c r="D518">
        <v>2019</v>
      </c>
      <c r="E518">
        <v>95</v>
      </c>
      <c r="F518">
        <v>96</v>
      </c>
      <c r="G518">
        <v>10.024283</v>
      </c>
      <c r="H518">
        <v>48.17</v>
      </c>
      <c r="I518">
        <v>82654</v>
      </c>
      <c r="J518">
        <v>4.8499999999999996</v>
      </c>
    </row>
    <row r="519" spans="1:10" x14ac:dyDescent="0.35">
      <c r="A519" t="s">
        <v>107</v>
      </c>
      <c r="B519" t="s">
        <v>115</v>
      </c>
      <c r="C519" t="s">
        <v>117</v>
      </c>
      <c r="D519">
        <v>2020</v>
      </c>
      <c r="E519">
        <v>95.67</v>
      </c>
      <c r="F519">
        <v>96</v>
      </c>
      <c r="G519">
        <v>10.093121</v>
      </c>
      <c r="H519">
        <v>42.69</v>
      </c>
      <c r="I519">
        <v>82646</v>
      </c>
      <c r="J519">
        <v>7.16</v>
      </c>
    </row>
    <row r="520" spans="1:10" x14ac:dyDescent="0.35">
      <c r="A520" t="s">
        <v>107</v>
      </c>
      <c r="B520" t="s">
        <v>115</v>
      </c>
      <c r="C520" t="s">
        <v>118</v>
      </c>
      <c r="D520">
        <v>2015</v>
      </c>
      <c r="E520">
        <v>100</v>
      </c>
      <c r="F520">
        <v>100</v>
      </c>
      <c r="G520">
        <v>1.362142</v>
      </c>
      <c r="H520">
        <v>31.05</v>
      </c>
      <c r="I520">
        <v>778</v>
      </c>
      <c r="J520" t="s">
        <v>14</v>
      </c>
    </row>
    <row r="521" spans="1:10" x14ac:dyDescent="0.35">
      <c r="A521" t="s">
        <v>107</v>
      </c>
      <c r="B521" t="s">
        <v>115</v>
      </c>
      <c r="C521" t="s">
        <v>118</v>
      </c>
      <c r="D521">
        <v>2016</v>
      </c>
      <c r="E521">
        <v>100</v>
      </c>
      <c r="F521">
        <v>100</v>
      </c>
      <c r="G521">
        <v>1.4096610000000001</v>
      </c>
      <c r="H521">
        <v>32.229999999999997</v>
      </c>
      <c r="I521">
        <v>779</v>
      </c>
      <c r="J521" t="s">
        <v>14</v>
      </c>
    </row>
    <row r="522" spans="1:10" x14ac:dyDescent="0.35">
      <c r="A522" t="s">
        <v>107</v>
      </c>
      <c r="B522" t="s">
        <v>115</v>
      </c>
      <c r="C522" t="s">
        <v>118</v>
      </c>
      <c r="D522">
        <v>2017</v>
      </c>
      <c r="E522">
        <v>100</v>
      </c>
      <c r="F522">
        <v>100</v>
      </c>
      <c r="G522">
        <v>1.456834</v>
      </c>
      <c r="H522">
        <v>35.47</v>
      </c>
      <c r="I522">
        <v>780</v>
      </c>
      <c r="J522" t="s">
        <v>14</v>
      </c>
    </row>
    <row r="523" spans="1:10" x14ac:dyDescent="0.35">
      <c r="A523" t="s">
        <v>107</v>
      </c>
      <c r="B523" t="s">
        <v>115</v>
      </c>
      <c r="C523" t="s">
        <v>118</v>
      </c>
      <c r="D523">
        <v>2018</v>
      </c>
      <c r="E523">
        <v>100</v>
      </c>
      <c r="F523">
        <v>100</v>
      </c>
      <c r="G523">
        <v>1.4873400000000001</v>
      </c>
      <c r="H523">
        <v>37.799999999999997</v>
      </c>
      <c r="I523">
        <v>780</v>
      </c>
      <c r="J523" t="s">
        <v>14</v>
      </c>
    </row>
    <row r="524" spans="1:10" x14ac:dyDescent="0.35">
      <c r="A524" t="s">
        <v>107</v>
      </c>
      <c r="B524" t="s">
        <v>115</v>
      </c>
      <c r="C524" t="s">
        <v>118</v>
      </c>
      <c r="D524">
        <v>2019</v>
      </c>
      <c r="E524">
        <v>100</v>
      </c>
      <c r="F524">
        <v>100</v>
      </c>
      <c r="G524">
        <v>1.4941880000000001</v>
      </c>
      <c r="H524">
        <v>38.65</v>
      </c>
      <c r="I524">
        <v>783</v>
      </c>
      <c r="J524" t="s">
        <v>14</v>
      </c>
    </row>
    <row r="525" spans="1:10" x14ac:dyDescent="0.35">
      <c r="A525" t="s">
        <v>107</v>
      </c>
      <c r="B525" t="s">
        <v>115</v>
      </c>
      <c r="C525" t="s">
        <v>118</v>
      </c>
      <c r="D525">
        <v>2020</v>
      </c>
      <c r="E525">
        <v>100</v>
      </c>
      <c r="F525">
        <v>100</v>
      </c>
      <c r="G525">
        <v>1.4774689999999999</v>
      </c>
      <c r="H525">
        <v>34.72</v>
      </c>
      <c r="I525">
        <v>785</v>
      </c>
      <c r="J525" t="s">
        <v>14</v>
      </c>
    </row>
    <row r="526" spans="1:10" x14ac:dyDescent="0.35">
      <c r="A526" t="s">
        <v>107</v>
      </c>
      <c r="B526" t="s">
        <v>115</v>
      </c>
      <c r="C526" t="s">
        <v>119</v>
      </c>
      <c r="D526">
        <v>2015</v>
      </c>
      <c r="E526">
        <v>100</v>
      </c>
      <c r="F526">
        <v>99.33</v>
      </c>
      <c r="G526">
        <v>1.1872799999999999</v>
      </c>
      <c r="H526">
        <v>19.91</v>
      </c>
      <c r="I526">
        <v>9240</v>
      </c>
      <c r="J526">
        <v>15.03</v>
      </c>
    </row>
    <row r="527" spans="1:10" x14ac:dyDescent="0.35">
      <c r="A527" t="s">
        <v>107</v>
      </c>
      <c r="B527" t="s">
        <v>115</v>
      </c>
      <c r="C527" t="s">
        <v>119</v>
      </c>
      <c r="D527">
        <v>2016</v>
      </c>
      <c r="E527">
        <v>100</v>
      </c>
      <c r="F527">
        <v>99.33</v>
      </c>
      <c r="G527">
        <v>1.197881</v>
      </c>
      <c r="H527">
        <v>21.05</v>
      </c>
      <c r="I527">
        <v>9240</v>
      </c>
      <c r="J527">
        <v>13.01</v>
      </c>
    </row>
    <row r="528" spans="1:10" x14ac:dyDescent="0.35">
      <c r="A528" t="s">
        <v>107</v>
      </c>
      <c r="B528" t="s">
        <v>115</v>
      </c>
      <c r="C528" t="s">
        <v>119</v>
      </c>
      <c r="D528">
        <v>2017</v>
      </c>
      <c r="E528">
        <v>100</v>
      </c>
      <c r="F528">
        <v>99.33</v>
      </c>
      <c r="G528">
        <v>1.208523</v>
      </c>
      <c r="H528">
        <v>22.95</v>
      </c>
      <c r="I528">
        <v>9240</v>
      </c>
      <c r="J528">
        <v>11.16</v>
      </c>
    </row>
    <row r="529" spans="1:10" x14ac:dyDescent="0.35">
      <c r="A529" t="s">
        <v>107</v>
      </c>
      <c r="B529" t="s">
        <v>115</v>
      </c>
      <c r="C529" t="s">
        <v>119</v>
      </c>
      <c r="D529">
        <v>2018</v>
      </c>
      <c r="E529">
        <v>100</v>
      </c>
      <c r="F529">
        <v>99.33</v>
      </c>
      <c r="G529">
        <v>1.218831</v>
      </c>
      <c r="H529">
        <v>25.6</v>
      </c>
      <c r="I529">
        <v>9240</v>
      </c>
      <c r="J529">
        <v>8.5</v>
      </c>
    </row>
    <row r="530" spans="1:10" x14ac:dyDescent="0.35">
      <c r="A530" t="s">
        <v>107</v>
      </c>
      <c r="B530" t="s">
        <v>115</v>
      </c>
      <c r="C530" t="s">
        <v>119</v>
      </c>
      <c r="D530">
        <v>2019</v>
      </c>
      <c r="E530">
        <v>100</v>
      </c>
      <c r="F530">
        <v>99.33</v>
      </c>
      <c r="G530">
        <v>1.228836</v>
      </c>
      <c r="H530">
        <v>25.94</v>
      </c>
      <c r="I530">
        <v>9240</v>
      </c>
      <c r="J530">
        <v>7.15</v>
      </c>
    </row>
    <row r="531" spans="1:10" x14ac:dyDescent="0.35">
      <c r="A531" t="s">
        <v>107</v>
      </c>
      <c r="B531" t="s">
        <v>115</v>
      </c>
      <c r="C531" t="s">
        <v>119</v>
      </c>
      <c r="D531">
        <v>2020</v>
      </c>
      <c r="E531">
        <v>100</v>
      </c>
      <c r="F531">
        <v>99.33</v>
      </c>
      <c r="G531">
        <v>1.2375370000000001</v>
      </c>
      <c r="H531">
        <v>25.01</v>
      </c>
      <c r="I531">
        <v>9240</v>
      </c>
      <c r="J531">
        <v>7.76</v>
      </c>
    </row>
    <row r="532" spans="1:10" x14ac:dyDescent="0.35">
      <c r="A532" t="s">
        <v>107</v>
      </c>
      <c r="B532" t="s">
        <v>115</v>
      </c>
      <c r="C532" t="s">
        <v>120</v>
      </c>
      <c r="D532">
        <v>2015</v>
      </c>
      <c r="E532">
        <v>95.33</v>
      </c>
      <c r="F532">
        <v>85.67</v>
      </c>
      <c r="G532">
        <v>3.725276</v>
      </c>
      <c r="H532">
        <v>14.95</v>
      </c>
      <c r="I532">
        <v>69490</v>
      </c>
      <c r="J532">
        <v>16.510000000000002</v>
      </c>
    </row>
    <row r="533" spans="1:10" x14ac:dyDescent="0.35">
      <c r="A533" t="s">
        <v>107</v>
      </c>
      <c r="B533" t="s">
        <v>115</v>
      </c>
      <c r="C533" t="s">
        <v>120</v>
      </c>
      <c r="D533">
        <v>2016</v>
      </c>
      <c r="E533">
        <v>96</v>
      </c>
      <c r="F533">
        <v>85</v>
      </c>
      <c r="G533">
        <v>3.7275049999999998</v>
      </c>
      <c r="H533">
        <v>15.14</v>
      </c>
      <c r="I533">
        <v>69490</v>
      </c>
      <c r="J533">
        <v>16.600000000000001</v>
      </c>
    </row>
    <row r="534" spans="1:10" x14ac:dyDescent="0.35">
      <c r="A534" t="s">
        <v>107</v>
      </c>
      <c r="B534" t="s">
        <v>115</v>
      </c>
      <c r="C534" t="s">
        <v>120</v>
      </c>
      <c r="D534">
        <v>2017</v>
      </c>
      <c r="E534">
        <v>96.67</v>
      </c>
      <c r="F534">
        <v>85.33</v>
      </c>
      <c r="G534">
        <v>3.7280039999999999</v>
      </c>
      <c r="H534">
        <v>16.239999999999998</v>
      </c>
      <c r="I534">
        <v>69490</v>
      </c>
      <c r="J534">
        <v>13.94</v>
      </c>
    </row>
    <row r="535" spans="1:10" x14ac:dyDescent="0.35">
      <c r="A535" t="s">
        <v>107</v>
      </c>
      <c r="B535" t="s">
        <v>115</v>
      </c>
      <c r="C535" t="s">
        <v>120</v>
      </c>
      <c r="D535">
        <v>2018</v>
      </c>
      <c r="E535">
        <v>96.67</v>
      </c>
      <c r="F535">
        <v>85</v>
      </c>
      <c r="G535">
        <v>3.7265489999999999</v>
      </c>
      <c r="H535">
        <v>17.600000000000001</v>
      </c>
      <c r="I535">
        <v>69490</v>
      </c>
      <c r="J535">
        <v>12.67</v>
      </c>
    </row>
    <row r="536" spans="1:10" x14ac:dyDescent="0.35">
      <c r="A536" t="s">
        <v>107</v>
      </c>
      <c r="B536" t="s">
        <v>115</v>
      </c>
      <c r="C536" t="s">
        <v>120</v>
      </c>
      <c r="D536">
        <v>2019</v>
      </c>
      <c r="E536">
        <v>96.67</v>
      </c>
      <c r="F536">
        <v>84.67</v>
      </c>
      <c r="G536">
        <v>3.7201610000000001</v>
      </c>
      <c r="H536">
        <v>17.47</v>
      </c>
      <c r="I536">
        <v>69490</v>
      </c>
      <c r="J536">
        <v>11.57</v>
      </c>
    </row>
    <row r="537" spans="1:10" x14ac:dyDescent="0.35">
      <c r="A537" t="s">
        <v>107</v>
      </c>
      <c r="B537" t="s">
        <v>115</v>
      </c>
      <c r="C537" t="s">
        <v>120</v>
      </c>
      <c r="D537">
        <v>2020</v>
      </c>
      <c r="E537">
        <v>96.67</v>
      </c>
      <c r="F537">
        <v>84.33</v>
      </c>
      <c r="G537">
        <v>3.7227160000000001</v>
      </c>
      <c r="H537">
        <v>15.84</v>
      </c>
      <c r="I537">
        <v>69490</v>
      </c>
      <c r="J537">
        <v>11.73</v>
      </c>
    </row>
    <row r="538" spans="1:10" x14ac:dyDescent="0.35">
      <c r="A538" t="s">
        <v>107</v>
      </c>
      <c r="B538" t="s">
        <v>115</v>
      </c>
      <c r="C538" t="s">
        <v>121</v>
      </c>
      <c r="D538">
        <v>2015</v>
      </c>
      <c r="E538">
        <v>92.33</v>
      </c>
      <c r="F538">
        <v>92</v>
      </c>
      <c r="G538">
        <v>37.757812999999999</v>
      </c>
      <c r="H538">
        <v>166.77</v>
      </c>
      <c r="I538">
        <v>434128</v>
      </c>
      <c r="J538" t="s">
        <v>14</v>
      </c>
    </row>
    <row r="539" spans="1:10" x14ac:dyDescent="0.35">
      <c r="A539" t="s">
        <v>107</v>
      </c>
      <c r="B539" t="s">
        <v>115</v>
      </c>
      <c r="C539" t="s">
        <v>121</v>
      </c>
      <c r="D539">
        <v>2016</v>
      </c>
      <c r="E539">
        <v>93.67</v>
      </c>
      <c r="F539">
        <v>94.33</v>
      </c>
      <c r="G539">
        <v>38.697943000000002</v>
      </c>
      <c r="H539">
        <v>166.6</v>
      </c>
      <c r="I539">
        <v>434128</v>
      </c>
      <c r="J539">
        <v>10.82</v>
      </c>
    </row>
    <row r="540" spans="1:10" x14ac:dyDescent="0.35">
      <c r="A540" t="s">
        <v>107</v>
      </c>
      <c r="B540" t="s">
        <v>115</v>
      </c>
      <c r="C540" t="s">
        <v>121</v>
      </c>
      <c r="D540">
        <v>2017</v>
      </c>
      <c r="E540">
        <v>94.67</v>
      </c>
      <c r="F540">
        <v>96</v>
      </c>
      <c r="G540">
        <v>39.621161999999998</v>
      </c>
      <c r="H540">
        <v>187.22</v>
      </c>
      <c r="I540">
        <v>434128</v>
      </c>
      <c r="J540">
        <v>13.02</v>
      </c>
    </row>
    <row r="541" spans="1:10" x14ac:dyDescent="0.35">
      <c r="A541" t="s">
        <v>107</v>
      </c>
      <c r="B541" t="s">
        <v>115</v>
      </c>
      <c r="C541" t="s">
        <v>121</v>
      </c>
      <c r="D541">
        <v>2018</v>
      </c>
      <c r="E541">
        <v>95.67</v>
      </c>
      <c r="F541">
        <v>97.67</v>
      </c>
      <c r="G541">
        <v>40.590699999999998</v>
      </c>
      <c r="H541">
        <v>227.37</v>
      </c>
      <c r="I541">
        <v>434128</v>
      </c>
      <c r="J541" t="s">
        <v>14</v>
      </c>
    </row>
    <row r="542" spans="1:10" x14ac:dyDescent="0.35">
      <c r="A542" t="s">
        <v>107</v>
      </c>
      <c r="B542" t="s">
        <v>115</v>
      </c>
      <c r="C542" t="s">
        <v>121</v>
      </c>
      <c r="D542">
        <v>2019</v>
      </c>
      <c r="E542">
        <v>97</v>
      </c>
      <c r="F542">
        <v>99.33</v>
      </c>
      <c r="G542">
        <v>41.563519999999997</v>
      </c>
      <c r="H542">
        <v>233.64</v>
      </c>
      <c r="I542">
        <v>434128</v>
      </c>
      <c r="J542" t="s">
        <v>14</v>
      </c>
    </row>
    <row r="543" spans="1:10" x14ac:dyDescent="0.35">
      <c r="A543" t="s">
        <v>107</v>
      </c>
      <c r="B543" t="s">
        <v>115</v>
      </c>
      <c r="C543" t="s">
        <v>121</v>
      </c>
      <c r="D543">
        <v>2020</v>
      </c>
      <c r="E543">
        <v>97.67</v>
      </c>
      <c r="F543">
        <v>100</v>
      </c>
      <c r="G543">
        <v>42.556984</v>
      </c>
      <c r="H543">
        <v>184.37</v>
      </c>
      <c r="I543">
        <v>434128</v>
      </c>
      <c r="J543" t="s">
        <v>14</v>
      </c>
    </row>
    <row r="544" spans="1:10" x14ac:dyDescent="0.35">
      <c r="A544" t="s">
        <v>107</v>
      </c>
      <c r="B544" t="s">
        <v>115</v>
      </c>
      <c r="C544" t="s">
        <v>122</v>
      </c>
      <c r="D544">
        <v>2015</v>
      </c>
      <c r="E544">
        <v>100</v>
      </c>
      <c r="F544">
        <v>100</v>
      </c>
      <c r="G544">
        <v>8.3801000000000005</v>
      </c>
      <c r="H544">
        <v>303.41000000000003</v>
      </c>
      <c r="I544">
        <v>21640</v>
      </c>
      <c r="J544">
        <v>5.18</v>
      </c>
    </row>
    <row r="545" spans="1:10" x14ac:dyDescent="0.35">
      <c r="A545" t="s">
        <v>107</v>
      </c>
      <c r="B545" t="s">
        <v>115</v>
      </c>
      <c r="C545" t="s">
        <v>122</v>
      </c>
      <c r="D545">
        <v>2016</v>
      </c>
      <c r="E545">
        <v>100</v>
      </c>
      <c r="F545">
        <v>100</v>
      </c>
      <c r="G545">
        <v>8.5459999999999994</v>
      </c>
      <c r="H545">
        <v>322.10000000000002</v>
      </c>
      <c r="I545">
        <v>21640</v>
      </c>
      <c r="J545">
        <v>4.72</v>
      </c>
    </row>
    <row r="546" spans="1:10" x14ac:dyDescent="0.35">
      <c r="A546" t="s">
        <v>107</v>
      </c>
      <c r="B546" t="s">
        <v>115</v>
      </c>
      <c r="C546" t="s">
        <v>122</v>
      </c>
      <c r="D546">
        <v>2017</v>
      </c>
      <c r="E546">
        <v>100</v>
      </c>
      <c r="F546">
        <v>100</v>
      </c>
      <c r="G546">
        <v>8.7133000000000003</v>
      </c>
      <c r="H546">
        <v>358.25</v>
      </c>
      <c r="I546">
        <v>21640</v>
      </c>
      <c r="J546">
        <v>4.1399999999999997</v>
      </c>
    </row>
    <row r="547" spans="1:10" x14ac:dyDescent="0.35">
      <c r="A547" t="s">
        <v>107</v>
      </c>
      <c r="B547" t="s">
        <v>115</v>
      </c>
      <c r="C547" t="s">
        <v>122</v>
      </c>
      <c r="D547">
        <v>2018</v>
      </c>
      <c r="E547">
        <v>100</v>
      </c>
      <c r="F547">
        <v>99.67</v>
      </c>
      <c r="G547">
        <v>8.8827999999999996</v>
      </c>
      <c r="H547">
        <v>376.69</v>
      </c>
      <c r="I547">
        <v>21640</v>
      </c>
      <c r="J547">
        <v>3.92</v>
      </c>
    </row>
    <row r="548" spans="1:10" x14ac:dyDescent="0.35">
      <c r="A548" t="s">
        <v>107</v>
      </c>
      <c r="B548" t="s">
        <v>115</v>
      </c>
      <c r="C548" t="s">
        <v>122</v>
      </c>
      <c r="D548">
        <v>2019</v>
      </c>
      <c r="E548">
        <v>100</v>
      </c>
      <c r="F548">
        <v>99.67</v>
      </c>
      <c r="G548">
        <v>9.0540000000000003</v>
      </c>
      <c r="H548">
        <v>402.47</v>
      </c>
      <c r="I548">
        <v>21640</v>
      </c>
      <c r="J548">
        <v>3.73</v>
      </c>
    </row>
    <row r="549" spans="1:10" x14ac:dyDescent="0.35">
      <c r="A549" t="s">
        <v>107</v>
      </c>
      <c r="B549" t="s">
        <v>115</v>
      </c>
      <c r="C549" t="s">
        <v>122</v>
      </c>
      <c r="D549">
        <v>2020</v>
      </c>
      <c r="E549">
        <v>100</v>
      </c>
      <c r="F549">
        <v>99.67</v>
      </c>
      <c r="G549">
        <v>9.2150999999999996</v>
      </c>
      <c r="H549">
        <v>413.27</v>
      </c>
      <c r="I549">
        <v>21640</v>
      </c>
      <c r="J549">
        <v>4.17</v>
      </c>
    </row>
    <row r="550" spans="1:10" x14ac:dyDescent="0.35">
      <c r="A550" t="s">
        <v>107</v>
      </c>
      <c r="B550" t="s">
        <v>115</v>
      </c>
      <c r="C550" t="s">
        <v>123</v>
      </c>
      <c r="D550">
        <v>2015</v>
      </c>
      <c r="E550">
        <v>98.33</v>
      </c>
      <c r="F550">
        <v>97</v>
      </c>
      <c r="G550">
        <v>9.4942460000000004</v>
      </c>
      <c r="H550">
        <v>38.590000000000003</v>
      </c>
      <c r="I550">
        <v>88780</v>
      </c>
      <c r="J550">
        <v>13.08</v>
      </c>
    </row>
    <row r="551" spans="1:10" x14ac:dyDescent="0.35">
      <c r="A551" t="s">
        <v>107</v>
      </c>
      <c r="B551" t="s">
        <v>115</v>
      </c>
      <c r="C551" t="s">
        <v>123</v>
      </c>
      <c r="D551">
        <v>2016</v>
      </c>
      <c r="E551">
        <v>98.33</v>
      </c>
      <c r="F551">
        <v>97</v>
      </c>
      <c r="G551">
        <v>9.9646559999999997</v>
      </c>
      <c r="H551">
        <v>39.89</v>
      </c>
      <c r="I551">
        <v>88780</v>
      </c>
      <c r="J551">
        <v>15.28</v>
      </c>
    </row>
    <row r="552" spans="1:10" x14ac:dyDescent="0.35">
      <c r="A552" t="s">
        <v>107</v>
      </c>
      <c r="B552" t="s">
        <v>115</v>
      </c>
      <c r="C552" t="s">
        <v>123</v>
      </c>
      <c r="D552">
        <v>2017</v>
      </c>
      <c r="E552">
        <v>98.33</v>
      </c>
      <c r="F552">
        <v>96.67</v>
      </c>
      <c r="G552">
        <v>10.215381000000001</v>
      </c>
      <c r="H552">
        <v>41.61</v>
      </c>
      <c r="I552">
        <v>88780</v>
      </c>
      <c r="J552">
        <v>18.12</v>
      </c>
    </row>
    <row r="553" spans="1:10" x14ac:dyDescent="0.35">
      <c r="A553" t="s">
        <v>107</v>
      </c>
      <c r="B553" t="s">
        <v>115</v>
      </c>
      <c r="C553" t="s">
        <v>123</v>
      </c>
      <c r="D553">
        <v>2018</v>
      </c>
      <c r="E553">
        <v>98.33</v>
      </c>
      <c r="F553">
        <v>96.67</v>
      </c>
      <c r="G553">
        <v>10.459865000000001</v>
      </c>
      <c r="H553">
        <v>43.37</v>
      </c>
      <c r="I553">
        <v>88780</v>
      </c>
      <c r="J553">
        <v>18.260000000000002</v>
      </c>
    </row>
    <row r="554" spans="1:10" x14ac:dyDescent="0.35">
      <c r="A554" t="s">
        <v>107</v>
      </c>
      <c r="B554" t="s">
        <v>115</v>
      </c>
      <c r="C554" t="s">
        <v>123</v>
      </c>
      <c r="D554">
        <v>2019</v>
      </c>
      <c r="E554">
        <v>98.33</v>
      </c>
      <c r="F554">
        <v>96.33</v>
      </c>
      <c r="G554">
        <v>10.698683000000001</v>
      </c>
      <c r="H554">
        <v>44.99</v>
      </c>
      <c r="I554">
        <v>88794</v>
      </c>
      <c r="J554">
        <v>16.8</v>
      </c>
    </row>
    <row r="555" spans="1:10" x14ac:dyDescent="0.35">
      <c r="A555" t="s">
        <v>107</v>
      </c>
      <c r="B555" t="s">
        <v>115</v>
      </c>
      <c r="C555" t="s">
        <v>123</v>
      </c>
      <c r="D555">
        <v>2020</v>
      </c>
      <c r="E555">
        <v>98.33</v>
      </c>
      <c r="F555">
        <v>96.33</v>
      </c>
      <c r="G555">
        <v>10.928720999999999</v>
      </c>
      <c r="H555">
        <v>44.18</v>
      </c>
      <c r="I555">
        <v>88794</v>
      </c>
      <c r="J555">
        <v>19.21</v>
      </c>
    </row>
    <row r="556" spans="1:10" x14ac:dyDescent="0.35">
      <c r="A556" t="s">
        <v>107</v>
      </c>
      <c r="B556" t="s">
        <v>115</v>
      </c>
      <c r="C556" t="s">
        <v>124</v>
      </c>
      <c r="D556">
        <v>2015</v>
      </c>
      <c r="E556">
        <v>100</v>
      </c>
      <c r="F556">
        <v>100</v>
      </c>
      <c r="G556">
        <v>3.9087429999999999</v>
      </c>
      <c r="H556">
        <v>114.57</v>
      </c>
      <c r="I556">
        <v>17820</v>
      </c>
      <c r="J556">
        <v>2.2000000000000002</v>
      </c>
    </row>
    <row r="557" spans="1:10" x14ac:dyDescent="0.35">
      <c r="A557" t="s">
        <v>107</v>
      </c>
      <c r="B557" t="s">
        <v>115</v>
      </c>
      <c r="C557" t="s">
        <v>124</v>
      </c>
      <c r="D557">
        <v>2016</v>
      </c>
      <c r="E557">
        <v>100</v>
      </c>
      <c r="F557">
        <v>100</v>
      </c>
      <c r="G557">
        <v>4.0480850000000004</v>
      </c>
      <c r="H557">
        <v>109.42</v>
      </c>
      <c r="I557">
        <v>17820</v>
      </c>
      <c r="J557">
        <v>2.16</v>
      </c>
    </row>
    <row r="558" spans="1:10" x14ac:dyDescent="0.35">
      <c r="A558" t="s">
        <v>107</v>
      </c>
      <c r="B558" t="s">
        <v>115</v>
      </c>
      <c r="C558" t="s">
        <v>124</v>
      </c>
      <c r="D558">
        <v>2017</v>
      </c>
      <c r="E558">
        <v>100</v>
      </c>
      <c r="F558">
        <v>100</v>
      </c>
      <c r="G558">
        <v>4.1249039999999999</v>
      </c>
      <c r="H558">
        <v>120.71</v>
      </c>
      <c r="I558">
        <v>17820</v>
      </c>
      <c r="J558" t="s">
        <v>14</v>
      </c>
    </row>
    <row r="559" spans="1:10" x14ac:dyDescent="0.35">
      <c r="A559" t="s">
        <v>107</v>
      </c>
      <c r="B559" t="s">
        <v>115</v>
      </c>
      <c r="C559" t="s">
        <v>124</v>
      </c>
      <c r="D559">
        <v>2018</v>
      </c>
      <c r="E559">
        <v>100</v>
      </c>
      <c r="F559">
        <v>100</v>
      </c>
      <c r="G559">
        <v>4.3171850000000003</v>
      </c>
      <c r="H559">
        <v>138.18</v>
      </c>
      <c r="I559">
        <v>17820</v>
      </c>
      <c r="J559" t="s">
        <v>14</v>
      </c>
    </row>
    <row r="560" spans="1:10" x14ac:dyDescent="0.35">
      <c r="A560" t="s">
        <v>107</v>
      </c>
      <c r="B560" t="s">
        <v>115</v>
      </c>
      <c r="C560" t="s">
        <v>124</v>
      </c>
      <c r="D560">
        <v>2019</v>
      </c>
      <c r="E560">
        <v>100</v>
      </c>
      <c r="F560">
        <v>100</v>
      </c>
      <c r="G560">
        <v>4.4410999999999996</v>
      </c>
      <c r="H560">
        <v>136.19999999999999</v>
      </c>
      <c r="I560">
        <v>17820</v>
      </c>
      <c r="J560" t="s">
        <v>14</v>
      </c>
    </row>
    <row r="561" spans="1:10" x14ac:dyDescent="0.35">
      <c r="A561" t="s">
        <v>107</v>
      </c>
      <c r="B561" t="s">
        <v>115</v>
      </c>
      <c r="C561" t="s">
        <v>124</v>
      </c>
      <c r="D561">
        <v>2020</v>
      </c>
      <c r="E561">
        <v>100</v>
      </c>
      <c r="F561">
        <v>100</v>
      </c>
      <c r="G561">
        <v>4.3604440000000002</v>
      </c>
      <c r="H561">
        <v>105.96</v>
      </c>
      <c r="I561">
        <v>17820</v>
      </c>
      <c r="J561" t="s">
        <v>14</v>
      </c>
    </row>
    <row r="562" spans="1:10" x14ac:dyDescent="0.35">
      <c r="A562" t="s">
        <v>107</v>
      </c>
      <c r="B562" t="s">
        <v>115</v>
      </c>
      <c r="C562" t="s">
        <v>125</v>
      </c>
      <c r="D562">
        <v>2015</v>
      </c>
      <c r="E562">
        <v>91</v>
      </c>
      <c r="F562">
        <v>94</v>
      </c>
      <c r="G562">
        <v>6.3989399999999996</v>
      </c>
      <c r="H562">
        <v>49.93</v>
      </c>
      <c r="I562">
        <v>10230</v>
      </c>
      <c r="J562" t="s">
        <v>14</v>
      </c>
    </row>
    <row r="563" spans="1:10" x14ac:dyDescent="0.35">
      <c r="A563" t="s">
        <v>107</v>
      </c>
      <c r="B563" t="s">
        <v>115</v>
      </c>
      <c r="C563" t="s">
        <v>125</v>
      </c>
      <c r="D563">
        <v>2016</v>
      </c>
      <c r="E563">
        <v>92</v>
      </c>
      <c r="F563">
        <v>95</v>
      </c>
      <c r="G563">
        <v>6.2586190000000004</v>
      </c>
      <c r="H563">
        <v>51.15</v>
      </c>
      <c r="I563">
        <v>10230</v>
      </c>
      <c r="J563" t="s">
        <v>14</v>
      </c>
    </row>
    <row r="564" spans="1:10" x14ac:dyDescent="0.35">
      <c r="A564" t="s">
        <v>107</v>
      </c>
      <c r="B564" t="s">
        <v>115</v>
      </c>
      <c r="C564" t="s">
        <v>125</v>
      </c>
      <c r="D564">
        <v>2017</v>
      </c>
      <c r="E564">
        <v>92</v>
      </c>
      <c r="F564">
        <v>97</v>
      </c>
      <c r="G564">
        <v>6.1092519999999997</v>
      </c>
      <c r="H564">
        <v>53.03</v>
      </c>
      <c r="I564">
        <v>10230</v>
      </c>
      <c r="J564" t="s">
        <v>14</v>
      </c>
    </row>
    <row r="565" spans="1:10" x14ac:dyDescent="0.35">
      <c r="A565" t="s">
        <v>107</v>
      </c>
      <c r="B565" t="s">
        <v>115</v>
      </c>
      <c r="C565" t="s">
        <v>125</v>
      </c>
      <c r="D565">
        <v>2018</v>
      </c>
      <c r="E565">
        <v>92</v>
      </c>
      <c r="F565">
        <v>98</v>
      </c>
      <c r="G565">
        <v>5.9508390000000002</v>
      </c>
      <c r="H565">
        <v>54.9</v>
      </c>
      <c r="I565">
        <v>10230</v>
      </c>
      <c r="J565" t="s">
        <v>14</v>
      </c>
    </row>
    <row r="566" spans="1:10" x14ac:dyDescent="0.35">
      <c r="A566" t="s">
        <v>107</v>
      </c>
      <c r="B566" t="s">
        <v>115</v>
      </c>
      <c r="C566" t="s">
        <v>125</v>
      </c>
      <c r="D566">
        <v>2019</v>
      </c>
      <c r="E566">
        <v>93</v>
      </c>
      <c r="F566">
        <v>99</v>
      </c>
      <c r="G566">
        <v>5.7819070000000004</v>
      </c>
      <c r="H566">
        <v>51.95</v>
      </c>
      <c r="I566">
        <v>10230</v>
      </c>
      <c r="J566">
        <v>11.3</v>
      </c>
    </row>
    <row r="567" spans="1:10" x14ac:dyDescent="0.35">
      <c r="A567" t="s">
        <v>107</v>
      </c>
      <c r="B567" t="s">
        <v>115</v>
      </c>
      <c r="C567" t="s">
        <v>125</v>
      </c>
      <c r="D567">
        <v>2020</v>
      </c>
      <c r="E567">
        <v>93</v>
      </c>
      <c r="F567">
        <v>99</v>
      </c>
      <c r="G567">
        <v>5.6629230000000002</v>
      </c>
      <c r="H567">
        <v>31.71</v>
      </c>
      <c r="I567">
        <v>10230</v>
      </c>
      <c r="J567" t="s">
        <v>14</v>
      </c>
    </row>
    <row r="568" spans="1:10" x14ac:dyDescent="0.35">
      <c r="A568" t="s">
        <v>107</v>
      </c>
      <c r="B568" t="s">
        <v>115</v>
      </c>
      <c r="C568" t="s">
        <v>126</v>
      </c>
      <c r="D568">
        <v>2015</v>
      </c>
      <c r="E568">
        <v>86</v>
      </c>
      <c r="F568">
        <v>99</v>
      </c>
      <c r="G568">
        <v>4.1917759999999999</v>
      </c>
      <c r="H568">
        <v>78.709999999999994</v>
      </c>
      <c r="I568">
        <v>309500</v>
      </c>
      <c r="J568" t="s">
        <v>14</v>
      </c>
    </row>
    <row r="569" spans="1:10" x14ac:dyDescent="0.35">
      <c r="A569" t="s">
        <v>107</v>
      </c>
      <c r="B569" t="s">
        <v>115</v>
      </c>
      <c r="C569" t="s">
        <v>126</v>
      </c>
      <c r="D569">
        <v>2016</v>
      </c>
      <c r="E569">
        <v>86.67</v>
      </c>
      <c r="F569">
        <v>99</v>
      </c>
      <c r="G569">
        <v>4.3980699999999997</v>
      </c>
      <c r="H569">
        <v>75.13</v>
      </c>
      <c r="I569">
        <v>309500</v>
      </c>
      <c r="J569">
        <v>3.27</v>
      </c>
    </row>
    <row r="570" spans="1:10" x14ac:dyDescent="0.35">
      <c r="A570" t="s">
        <v>107</v>
      </c>
      <c r="B570" t="s">
        <v>115</v>
      </c>
      <c r="C570" t="s">
        <v>126</v>
      </c>
      <c r="D570">
        <v>2017</v>
      </c>
      <c r="E570">
        <v>86.67</v>
      </c>
      <c r="F570">
        <v>99</v>
      </c>
      <c r="G570">
        <v>4.5418539999999998</v>
      </c>
      <c r="H570">
        <v>80.86</v>
      </c>
      <c r="I570">
        <v>309500</v>
      </c>
      <c r="J570" t="s">
        <v>14</v>
      </c>
    </row>
    <row r="571" spans="1:10" x14ac:dyDescent="0.35">
      <c r="A571" t="s">
        <v>107</v>
      </c>
      <c r="B571" t="s">
        <v>115</v>
      </c>
      <c r="C571" t="s">
        <v>126</v>
      </c>
      <c r="D571">
        <v>2018</v>
      </c>
      <c r="E571">
        <v>87</v>
      </c>
      <c r="F571">
        <v>99</v>
      </c>
      <c r="G571">
        <v>4.6011569999999997</v>
      </c>
      <c r="H571">
        <v>91.51</v>
      </c>
      <c r="I571">
        <v>309500</v>
      </c>
      <c r="J571">
        <v>1.8</v>
      </c>
    </row>
    <row r="572" spans="1:10" x14ac:dyDescent="0.35">
      <c r="A572" t="s">
        <v>107</v>
      </c>
      <c r="B572" t="s">
        <v>115</v>
      </c>
      <c r="C572" t="s">
        <v>126</v>
      </c>
      <c r="D572">
        <v>2019</v>
      </c>
      <c r="E572">
        <v>87.67</v>
      </c>
      <c r="F572">
        <v>99</v>
      </c>
      <c r="G572">
        <v>4.6027680000000002</v>
      </c>
      <c r="H572">
        <v>88.06</v>
      </c>
      <c r="I572">
        <v>309500</v>
      </c>
      <c r="J572" t="s">
        <v>14</v>
      </c>
    </row>
    <row r="573" spans="1:10" x14ac:dyDescent="0.35">
      <c r="A573" t="s">
        <v>107</v>
      </c>
      <c r="B573" t="s">
        <v>115</v>
      </c>
      <c r="C573" t="s">
        <v>126</v>
      </c>
      <c r="D573">
        <v>2020</v>
      </c>
      <c r="E573">
        <v>87.67</v>
      </c>
      <c r="F573">
        <v>99</v>
      </c>
      <c r="G573">
        <v>4.543399</v>
      </c>
      <c r="H573">
        <v>75.91</v>
      </c>
      <c r="I573">
        <v>309500</v>
      </c>
      <c r="J573">
        <v>2.94</v>
      </c>
    </row>
    <row r="574" spans="1:10" x14ac:dyDescent="0.35">
      <c r="A574" t="s">
        <v>107</v>
      </c>
      <c r="B574" t="s">
        <v>115</v>
      </c>
      <c r="C574" t="s">
        <v>127</v>
      </c>
      <c r="D574">
        <v>2015</v>
      </c>
      <c r="E574">
        <v>100</v>
      </c>
      <c r="F574">
        <v>100</v>
      </c>
      <c r="G574">
        <v>2.4145729999999999</v>
      </c>
      <c r="H574">
        <v>161.74</v>
      </c>
      <c r="I574">
        <v>11490</v>
      </c>
      <c r="J574">
        <v>0.17</v>
      </c>
    </row>
    <row r="575" spans="1:10" x14ac:dyDescent="0.35">
      <c r="A575" t="s">
        <v>107</v>
      </c>
      <c r="B575" t="s">
        <v>115</v>
      </c>
      <c r="C575" t="s">
        <v>127</v>
      </c>
      <c r="D575">
        <v>2016</v>
      </c>
      <c r="E575">
        <v>100</v>
      </c>
      <c r="F575">
        <v>100</v>
      </c>
      <c r="G575">
        <v>2.5951659999999999</v>
      </c>
      <c r="H575">
        <v>151.72999999999999</v>
      </c>
      <c r="I575">
        <v>11490</v>
      </c>
      <c r="J575">
        <v>0.15</v>
      </c>
    </row>
    <row r="576" spans="1:10" x14ac:dyDescent="0.35">
      <c r="A576" t="s">
        <v>107</v>
      </c>
      <c r="B576" t="s">
        <v>115</v>
      </c>
      <c r="C576" t="s">
        <v>127</v>
      </c>
      <c r="D576">
        <v>2017</v>
      </c>
      <c r="E576">
        <v>100</v>
      </c>
      <c r="F576">
        <v>100</v>
      </c>
      <c r="G576">
        <v>2.7117550000000001</v>
      </c>
      <c r="H576">
        <v>161.1</v>
      </c>
      <c r="I576">
        <v>11490</v>
      </c>
      <c r="J576">
        <v>0.14000000000000001</v>
      </c>
    </row>
    <row r="577" spans="1:10" x14ac:dyDescent="0.35">
      <c r="A577" t="s">
        <v>107</v>
      </c>
      <c r="B577" t="s">
        <v>115</v>
      </c>
      <c r="C577" t="s">
        <v>127</v>
      </c>
      <c r="D577">
        <v>2018</v>
      </c>
      <c r="E577">
        <v>100</v>
      </c>
      <c r="F577">
        <v>100</v>
      </c>
      <c r="G577">
        <v>2.7667320000000002</v>
      </c>
      <c r="H577">
        <v>183.33</v>
      </c>
      <c r="I577">
        <v>11490</v>
      </c>
      <c r="J577">
        <v>0.11</v>
      </c>
    </row>
    <row r="578" spans="1:10" x14ac:dyDescent="0.35">
      <c r="A578" t="s">
        <v>107</v>
      </c>
      <c r="B578" t="s">
        <v>115</v>
      </c>
      <c r="C578" t="s">
        <v>127</v>
      </c>
      <c r="D578">
        <v>2019</v>
      </c>
      <c r="E578">
        <v>100</v>
      </c>
      <c r="F578">
        <v>100</v>
      </c>
      <c r="G578">
        <v>2.8072349999999999</v>
      </c>
      <c r="H578">
        <v>175.84</v>
      </c>
      <c r="I578">
        <v>11490</v>
      </c>
      <c r="J578">
        <v>0.1</v>
      </c>
    </row>
    <row r="579" spans="1:10" x14ac:dyDescent="0.35">
      <c r="A579" t="s">
        <v>107</v>
      </c>
      <c r="B579" t="s">
        <v>115</v>
      </c>
      <c r="C579" t="s">
        <v>127</v>
      </c>
      <c r="D579">
        <v>2020</v>
      </c>
      <c r="E579">
        <v>100</v>
      </c>
      <c r="F579">
        <v>100</v>
      </c>
      <c r="G579">
        <v>2.7603849999999999</v>
      </c>
      <c r="H579">
        <v>144.41</v>
      </c>
      <c r="I579">
        <v>11490</v>
      </c>
      <c r="J579">
        <v>0.14000000000000001</v>
      </c>
    </row>
    <row r="580" spans="1:10" x14ac:dyDescent="0.35">
      <c r="A580" t="s">
        <v>107</v>
      </c>
      <c r="B580" t="s">
        <v>115</v>
      </c>
      <c r="C580" t="s">
        <v>128</v>
      </c>
      <c r="D580">
        <v>2015</v>
      </c>
      <c r="E580">
        <v>100</v>
      </c>
      <c r="F580">
        <v>100</v>
      </c>
      <c r="G580">
        <v>32.749848</v>
      </c>
      <c r="H580">
        <v>654.27</v>
      </c>
      <c r="I580">
        <v>2149690</v>
      </c>
      <c r="J580">
        <v>5.6</v>
      </c>
    </row>
    <row r="581" spans="1:10" x14ac:dyDescent="0.35">
      <c r="A581" t="s">
        <v>107</v>
      </c>
      <c r="B581" t="s">
        <v>115</v>
      </c>
      <c r="C581" t="s">
        <v>128</v>
      </c>
      <c r="D581">
        <v>2016</v>
      </c>
      <c r="E581">
        <v>100</v>
      </c>
      <c r="F581">
        <v>100</v>
      </c>
      <c r="G581">
        <v>33.416269999999997</v>
      </c>
      <c r="H581">
        <v>644.94000000000005</v>
      </c>
      <c r="I581">
        <v>2149690</v>
      </c>
      <c r="J581">
        <v>5.6</v>
      </c>
    </row>
    <row r="582" spans="1:10" x14ac:dyDescent="0.35">
      <c r="A582" t="s">
        <v>107</v>
      </c>
      <c r="B582" t="s">
        <v>115</v>
      </c>
      <c r="C582" t="s">
        <v>128</v>
      </c>
      <c r="D582">
        <v>2017</v>
      </c>
      <c r="E582">
        <v>100</v>
      </c>
      <c r="F582">
        <v>100</v>
      </c>
      <c r="G582">
        <v>34.193122000000002</v>
      </c>
      <c r="H582">
        <v>688.59</v>
      </c>
      <c r="I582">
        <v>2149690</v>
      </c>
      <c r="J582">
        <v>5.89</v>
      </c>
    </row>
    <row r="583" spans="1:10" x14ac:dyDescent="0.35">
      <c r="A583" t="s">
        <v>107</v>
      </c>
      <c r="B583" t="s">
        <v>115</v>
      </c>
      <c r="C583" t="s">
        <v>128</v>
      </c>
      <c r="D583">
        <v>2018</v>
      </c>
      <c r="E583">
        <v>100</v>
      </c>
      <c r="F583">
        <v>100</v>
      </c>
      <c r="G583">
        <v>35.018132999999999</v>
      </c>
      <c r="H583">
        <v>816.58</v>
      </c>
      <c r="I583">
        <v>2149690</v>
      </c>
      <c r="J583">
        <v>6.03</v>
      </c>
    </row>
    <row r="584" spans="1:10" x14ac:dyDescent="0.35">
      <c r="A584" t="s">
        <v>107</v>
      </c>
      <c r="B584" t="s">
        <v>115</v>
      </c>
      <c r="C584" t="s">
        <v>128</v>
      </c>
      <c r="D584">
        <v>2019</v>
      </c>
      <c r="E584">
        <v>100</v>
      </c>
      <c r="F584">
        <v>100</v>
      </c>
      <c r="G584">
        <v>35.827362000000001</v>
      </c>
      <c r="H584">
        <v>803.62</v>
      </c>
      <c r="I584">
        <v>2149690</v>
      </c>
      <c r="J584">
        <v>5.64</v>
      </c>
    </row>
    <row r="585" spans="1:10" x14ac:dyDescent="0.35">
      <c r="A585" t="s">
        <v>107</v>
      </c>
      <c r="B585" t="s">
        <v>115</v>
      </c>
      <c r="C585" t="s">
        <v>128</v>
      </c>
      <c r="D585">
        <v>2020</v>
      </c>
      <c r="E585">
        <v>100</v>
      </c>
      <c r="F585">
        <v>100</v>
      </c>
      <c r="G585">
        <v>35.997107</v>
      </c>
      <c r="H585">
        <v>703.37</v>
      </c>
      <c r="I585">
        <v>2149690</v>
      </c>
      <c r="J585">
        <v>7.66</v>
      </c>
    </row>
    <row r="586" spans="1:10" x14ac:dyDescent="0.35">
      <c r="A586" t="s">
        <v>107</v>
      </c>
      <c r="B586" t="s">
        <v>115</v>
      </c>
      <c r="C586" t="s">
        <v>129</v>
      </c>
      <c r="D586">
        <v>2015</v>
      </c>
      <c r="E586">
        <v>96</v>
      </c>
      <c r="F586">
        <v>96</v>
      </c>
      <c r="G586" t="s">
        <v>14</v>
      </c>
      <c r="H586" t="s">
        <v>14</v>
      </c>
      <c r="I586" t="s">
        <v>14</v>
      </c>
      <c r="J586" t="s">
        <v>14</v>
      </c>
    </row>
    <row r="587" spans="1:10" x14ac:dyDescent="0.35">
      <c r="A587" t="s">
        <v>107</v>
      </c>
      <c r="B587" t="s">
        <v>115</v>
      </c>
      <c r="C587" t="s">
        <v>129</v>
      </c>
      <c r="D587">
        <v>2016</v>
      </c>
      <c r="E587">
        <v>96.67</v>
      </c>
      <c r="F587">
        <v>96.33</v>
      </c>
      <c r="G587" t="s">
        <v>14</v>
      </c>
      <c r="H587" t="s">
        <v>14</v>
      </c>
      <c r="I587" t="s">
        <v>14</v>
      </c>
      <c r="J587" t="s">
        <v>14</v>
      </c>
    </row>
    <row r="588" spans="1:10" x14ac:dyDescent="0.35">
      <c r="A588" t="s">
        <v>107</v>
      </c>
      <c r="B588" t="s">
        <v>115</v>
      </c>
      <c r="C588" t="s">
        <v>129</v>
      </c>
      <c r="D588">
        <v>2017</v>
      </c>
      <c r="E588">
        <v>97</v>
      </c>
      <c r="F588">
        <v>97</v>
      </c>
      <c r="G588" t="s">
        <v>14</v>
      </c>
      <c r="H588" t="s">
        <v>14</v>
      </c>
      <c r="I588" t="s">
        <v>14</v>
      </c>
      <c r="J588" t="s">
        <v>14</v>
      </c>
    </row>
    <row r="589" spans="1:10" x14ac:dyDescent="0.35">
      <c r="A589" t="s">
        <v>107</v>
      </c>
      <c r="B589" t="s">
        <v>115</v>
      </c>
      <c r="C589" t="s">
        <v>129</v>
      </c>
      <c r="D589">
        <v>2018</v>
      </c>
      <c r="E589">
        <v>97</v>
      </c>
      <c r="F589">
        <v>97.67</v>
      </c>
      <c r="G589" t="s">
        <v>14</v>
      </c>
      <c r="H589" t="s">
        <v>14</v>
      </c>
      <c r="I589" t="s">
        <v>14</v>
      </c>
      <c r="J589" t="s">
        <v>14</v>
      </c>
    </row>
    <row r="590" spans="1:10" x14ac:dyDescent="0.35">
      <c r="A590" t="s">
        <v>107</v>
      </c>
      <c r="B590" t="s">
        <v>115</v>
      </c>
      <c r="C590" t="s">
        <v>129</v>
      </c>
      <c r="D590">
        <v>2019</v>
      </c>
      <c r="E590">
        <v>97.67</v>
      </c>
      <c r="F590">
        <v>97.67</v>
      </c>
      <c r="G590" t="s">
        <v>14</v>
      </c>
      <c r="H590" t="s">
        <v>14</v>
      </c>
      <c r="I590" t="s">
        <v>14</v>
      </c>
      <c r="J590" t="s">
        <v>14</v>
      </c>
    </row>
    <row r="591" spans="1:10" x14ac:dyDescent="0.35">
      <c r="A591" t="s">
        <v>107</v>
      </c>
      <c r="B591" t="s">
        <v>115</v>
      </c>
      <c r="C591" t="s">
        <v>129</v>
      </c>
      <c r="D591">
        <v>2020</v>
      </c>
      <c r="E591">
        <v>98.33</v>
      </c>
      <c r="F591">
        <v>98.67</v>
      </c>
      <c r="G591" t="s">
        <v>14</v>
      </c>
      <c r="H591" t="s">
        <v>14</v>
      </c>
      <c r="I591" t="s">
        <v>14</v>
      </c>
      <c r="J591" t="s">
        <v>14</v>
      </c>
    </row>
    <row r="592" spans="1:10" x14ac:dyDescent="0.35">
      <c r="A592" t="s">
        <v>107</v>
      </c>
      <c r="B592" t="s">
        <v>115</v>
      </c>
      <c r="C592" t="s">
        <v>130</v>
      </c>
      <c r="D592">
        <v>2015</v>
      </c>
      <c r="E592">
        <v>93.33</v>
      </c>
      <c r="F592">
        <v>90</v>
      </c>
      <c r="G592">
        <v>19.205178</v>
      </c>
      <c r="H592">
        <v>16.47</v>
      </c>
      <c r="I592">
        <v>183630</v>
      </c>
      <c r="J592" t="s">
        <v>14</v>
      </c>
    </row>
    <row r="593" spans="1:10" x14ac:dyDescent="0.35">
      <c r="A593" t="s">
        <v>107</v>
      </c>
      <c r="B593" t="s">
        <v>115</v>
      </c>
      <c r="C593" t="s">
        <v>130</v>
      </c>
      <c r="D593">
        <v>2016</v>
      </c>
      <c r="E593">
        <v>93.67</v>
      </c>
      <c r="F593">
        <v>90</v>
      </c>
      <c r="G593">
        <v>18.964251999999998</v>
      </c>
      <c r="H593">
        <v>12.6</v>
      </c>
      <c r="I593">
        <v>183630</v>
      </c>
      <c r="J593" t="s">
        <v>14</v>
      </c>
    </row>
    <row r="594" spans="1:10" x14ac:dyDescent="0.35">
      <c r="A594" t="s">
        <v>107</v>
      </c>
      <c r="B594" t="s">
        <v>115</v>
      </c>
      <c r="C594" t="s">
        <v>130</v>
      </c>
      <c r="D594">
        <v>2017</v>
      </c>
      <c r="E594">
        <v>93.67</v>
      </c>
      <c r="F594">
        <v>90</v>
      </c>
      <c r="G594">
        <v>18.983373</v>
      </c>
      <c r="H594">
        <v>16.37</v>
      </c>
      <c r="I594">
        <v>183630</v>
      </c>
      <c r="J594" t="s">
        <v>14</v>
      </c>
    </row>
    <row r="595" spans="1:10" x14ac:dyDescent="0.35">
      <c r="A595" t="s">
        <v>107</v>
      </c>
      <c r="B595" t="s">
        <v>115</v>
      </c>
      <c r="C595" t="s">
        <v>130</v>
      </c>
      <c r="D595">
        <v>2018</v>
      </c>
      <c r="E595">
        <v>93.67</v>
      </c>
      <c r="F595">
        <v>89.67</v>
      </c>
      <c r="G595">
        <v>19.333462999999998</v>
      </c>
      <c r="H595">
        <v>21.35</v>
      </c>
      <c r="I595">
        <v>183630</v>
      </c>
      <c r="J595" t="s">
        <v>14</v>
      </c>
    </row>
    <row r="596" spans="1:10" x14ac:dyDescent="0.35">
      <c r="A596" t="s">
        <v>107</v>
      </c>
      <c r="B596" t="s">
        <v>115</v>
      </c>
      <c r="C596" t="s">
        <v>130</v>
      </c>
      <c r="D596">
        <v>2019</v>
      </c>
      <c r="E596">
        <v>93.67</v>
      </c>
      <c r="F596">
        <v>90</v>
      </c>
      <c r="G596">
        <v>20.098251000000001</v>
      </c>
      <c r="H596">
        <v>22.44</v>
      </c>
      <c r="I596">
        <v>183630</v>
      </c>
      <c r="J596" t="s">
        <v>14</v>
      </c>
    </row>
    <row r="597" spans="1:10" x14ac:dyDescent="0.35">
      <c r="A597" t="s">
        <v>107</v>
      </c>
      <c r="B597" t="s">
        <v>115</v>
      </c>
      <c r="C597" t="s">
        <v>130</v>
      </c>
      <c r="D597">
        <v>2020</v>
      </c>
      <c r="E597">
        <v>93.67</v>
      </c>
      <c r="F597">
        <v>90</v>
      </c>
      <c r="G597">
        <v>20.772594999999999</v>
      </c>
      <c r="H597">
        <v>11.08</v>
      </c>
      <c r="I597">
        <v>183630</v>
      </c>
      <c r="J597" t="s">
        <v>14</v>
      </c>
    </row>
    <row r="598" spans="1:10" x14ac:dyDescent="0.35">
      <c r="A598" t="s">
        <v>107</v>
      </c>
      <c r="B598" t="s">
        <v>115</v>
      </c>
      <c r="C598" t="s">
        <v>131</v>
      </c>
      <c r="D598">
        <v>2015</v>
      </c>
      <c r="E598">
        <v>95.67</v>
      </c>
      <c r="F598">
        <v>95</v>
      </c>
      <c r="G598" t="s">
        <v>14</v>
      </c>
      <c r="H598" t="s">
        <v>14</v>
      </c>
      <c r="I598" t="s">
        <v>14</v>
      </c>
      <c r="J598" t="s">
        <v>14</v>
      </c>
    </row>
    <row r="599" spans="1:10" x14ac:dyDescent="0.35">
      <c r="A599" t="s">
        <v>107</v>
      </c>
      <c r="B599" t="s">
        <v>115</v>
      </c>
      <c r="C599" t="s">
        <v>131</v>
      </c>
      <c r="D599">
        <v>2016</v>
      </c>
      <c r="E599">
        <v>96</v>
      </c>
      <c r="F599">
        <v>95.67</v>
      </c>
      <c r="G599" t="s">
        <v>14</v>
      </c>
      <c r="H599" t="s">
        <v>14</v>
      </c>
      <c r="I599" t="s">
        <v>14</v>
      </c>
      <c r="J599" t="s">
        <v>14</v>
      </c>
    </row>
    <row r="600" spans="1:10" x14ac:dyDescent="0.35">
      <c r="A600" t="s">
        <v>107</v>
      </c>
      <c r="B600" t="s">
        <v>115</v>
      </c>
      <c r="C600" t="s">
        <v>131</v>
      </c>
      <c r="D600">
        <v>2017</v>
      </c>
      <c r="E600">
        <v>96.33</v>
      </c>
      <c r="F600">
        <v>96.67</v>
      </c>
      <c r="G600" t="s">
        <v>14</v>
      </c>
      <c r="H600" t="s">
        <v>14</v>
      </c>
      <c r="I600" t="s">
        <v>14</v>
      </c>
      <c r="J600" t="s">
        <v>14</v>
      </c>
    </row>
    <row r="601" spans="1:10" x14ac:dyDescent="0.35">
      <c r="A601" t="s">
        <v>107</v>
      </c>
      <c r="B601" t="s">
        <v>115</v>
      </c>
      <c r="C601" t="s">
        <v>131</v>
      </c>
      <c r="D601">
        <v>2018</v>
      </c>
      <c r="E601">
        <v>96.33</v>
      </c>
      <c r="F601">
        <v>97</v>
      </c>
      <c r="G601" t="s">
        <v>14</v>
      </c>
      <c r="H601" t="s">
        <v>14</v>
      </c>
      <c r="I601" t="s">
        <v>14</v>
      </c>
      <c r="J601" t="s">
        <v>14</v>
      </c>
    </row>
    <row r="602" spans="1:10" x14ac:dyDescent="0.35">
      <c r="A602" t="s">
        <v>107</v>
      </c>
      <c r="B602" t="s">
        <v>115</v>
      </c>
      <c r="C602" t="s">
        <v>131</v>
      </c>
      <c r="D602">
        <v>2019</v>
      </c>
      <c r="E602">
        <v>96.67</v>
      </c>
      <c r="F602">
        <v>98.33</v>
      </c>
      <c r="G602" t="s">
        <v>14</v>
      </c>
      <c r="H602" t="s">
        <v>14</v>
      </c>
      <c r="I602" t="s">
        <v>14</v>
      </c>
      <c r="J602" t="s">
        <v>14</v>
      </c>
    </row>
    <row r="603" spans="1:10" x14ac:dyDescent="0.35">
      <c r="A603" t="s">
        <v>107</v>
      </c>
      <c r="B603" t="s">
        <v>115</v>
      </c>
      <c r="C603" t="s">
        <v>131</v>
      </c>
      <c r="D603">
        <v>2020</v>
      </c>
      <c r="E603">
        <v>96.67</v>
      </c>
      <c r="F603">
        <v>98.67</v>
      </c>
      <c r="G603" t="s">
        <v>14</v>
      </c>
      <c r="H603" t="s">
        <v>14</v>
      </c>
      <c r="I603" t="s">
        <v>14</v>
      </c>
      <c r="J603" t="s">
        <v>14</v>
      </c>
    </row>
    <row r="604" spans="1:10" x14ac:dyDescent="0.35">
      <c r="A604" t="s">
        <v>107</v>
      </c>
      <c r="B604" t="s">
        <v>115</v>
      </c>
      <c r="C604" t="s">
        <v>132</v>
      </c>
      <c r="D604">
        <v>2015</v>
      </c>
      <c r="E604">
        <v>100</v>
      </c>
      <c r="F604">
        <v>99</v>
      </c>
      <c r="G604">
        <v>8.9168990000000008</v>
      </c>
      <c r="H604">
        <v>370.28</v>
      </c>
      <c r="I604">
        <v>71020</v>
      </c>
      <c r="J604" t="s">
        <v>14</v>
      </c>
    </row>
    <row r="605" spans="1:10" x14ac:dyDescent="0.35">
      <c r="A605" t="s">
        <v>107</v>
      </c>
      <c r="B605" t="s">
        <v>115</v>
      </c>
      <c r="C605" t="s">
        <v>132</v>
      </c>
      <c r="D605">
        <v>2016</v>
      </c>
      <c r="E605">
        <v>100</v>
      </c>
      <c r="F605">
        <v>99</v>
      </c>
      <c r="G605">
        <v>8.9942630000000001</v>
      </c>
      <c r="H605">
        <v>369.26</v>
      </c>
      <c r="I605">
        <v>71020</v>
      </c>
      <c r="J605">
        <v>1.64</v>
      </c>
    </row>
    <row r="606" spans="1:10" x14ac:dyDescent="0.35">
      <c r="A606" t="s">
        <v>107</v>
      </c>
      <c r="B606" t="s">
        <v>115</v>
      </c>
      <c r="C606" t="s">
        <v>132</v>
      </c>
      <c r="D606">
        <v>2017</v>
      </c>
      <c r="E606">
        <v>100</v>
      </c>
      <c r="F606">
        <v>99</v>
      </c>
      <c r="G606">
        <v>9.0682960000000001</v>
      </c>
      <c r="H606">
        <v>390.52</v>
      </c>
      <c r="I606">
        <v>71020</v>
      </c>
      <c r="J606">
        <v>2.46</v>
      </c>
    </row>
    <row r="607" spans="1:10" x14ac:dyDescent="0.35">
      <c r="A607" t="s">
        <v>107</v>
      </c>
      <c r="B607" t="s">
        <v>115</v>
      </c>
      <c r="C607" t="s">
        <v>132</v>
      </c>
      <c r="D607">
        <v>2018</v>
      </c>
      <c r="E607">
        <v>100</v>
      </c>
      <c r="F607">
        <v>99</v>
      </c>
      <c r="G607">
        <v>9.1401690000000002</v>
      </c>
      <c r="H607">
        <v>427.05</v>
      </c>
      <c r="I607">
        <v>71020</v>
      </c>
      <c r="J607">
        <v>2.2400000000000002</v>
      </c>
    </row>
    <row r="608" spans="1:10" x14ac:dyDescent="0.35">
      <c r="A608" t="s">
        <v>107</v>
      </c>
      <c r="B608" t="s">
        <v>115</v>
      </c>
      <c r="C608" t="s">
        <v>132</v>
      </c>
      <c r="D608">
        <v>2019</v>
      </c>
      <c r="E608">
        <v>100</v>
      </c>
      <c r="F608">
        <v>99</v>
      </c>
      <c r="G608">
        <v>9.2116570000000007</v>
      </c>
      <c r="H608">
        <v>417.99</v>
      </c>
      <c r="I608">
        <v>71020</v>
      </c>
      <c r="J608">
        <v>2.33</v>
      </c>
    </row>
    <row r="609" spans="1:10" x14ac:dyDescent="0.35">
      <c r="A609" t="s">
        <v>107</v>
      </c>
      <c r="B609" t="s">
        <v>115</v>
      </c>
      <c r="C609" t="s">
        <v>132</v>
      </c>
      <c r="D609">
        <v>2020</v>
      </c>
      <c r="E609">
        <v>100</v>
      </c>
      <c r="F609">
        <v>99</v>
      </c>
      <c r="G609">
        <v>9.2872889999999995</v>
      </c>
      <c r="H609">
        <v>349.47</v>
      </c>
      <c r="I609">
        <v>71020</v>
      </c>
      <c r="J609">
        <v>4.29</v>
      </c>
    </row>
    <row r="610" spans="1:10" x14ac:dyDescent="0.35">
      <c r="A610" t="s">
        <v>107</v>
      </c>
      <c r="B610" t="s">
        <v>115</v>
      </c>
      <c r="C610" t="s">
        <v>133</v>
      </c>
      <c r="D610">
        <v>2015</v>
      </c>
      <c r="E610">
        <v>59</v>
      </c>
      <c r="F610">
        <v>56.33</v>
      </c>
      <c r="G610" t="s">
        <v>14</v>
      </c>
      <c r="H610" t="s">
        <v>14</v>
      </c>
      <c r="I610" t="s">
        <v>14</v>
      </c>
      <c r="J610" t="s">
        <v>14</v>
      </c>
    </row>
    <row r="611" spans="1:10" x14ac:dyDescent="0.35">
      <c r="A611" t="s">
        <v>107</v>
      </c>
      <c r="B611" t="s">
        <v>115</v>
      </c>
      <c r="C611" t="s">
        <v>133</v>
      </c>
      <c r="D611">
        <v>2016</v>
      </c>
      <c r="E611">
        <v>59.67</v>
      </c>
      <c r="F611">
        <v>56.33</v>
      </c>
      <c r="G611" t="s">
        <v>14</v>
      </c>
      <c r="H611" t="s">
        <v>14</v>
      </c>
      <c r="I611" t="s">
        <v>14</v>
      </c>
      <c r="J611" t="s">
        <v>14</v>
      </c>
    </row>
    <row r="612" spans="1:10" x14ac:dyDescent="0.35">
      <c r="A612" t="s">
        <v>107</v>
      </c>
      <c r="B612" t="s">
        <v>115</v>
      </c>
      <c r="C612" t="s">
        <v>133</v>
      </c>
      <c r="D612">
        <v>2017</v>
      </c>
      <c r="E612">
        <v>60.33</v>
      </c>
      <c r="F612">
        <v>56.67</v>
      </c>
      <c r="G612" t="s">
        <v>14</v>
      </c>
      <c r="H612" t="s">
        <v>14</v>
      </c>
      <c r="I612" t="s">
        <v>14</v>
      </c>
      <c r="J612" t="s">
        <v>14</v>
      </c>
    </row>
    <row r="613" spans="1:10" x14ac:dyDescent="0.35">
      <c r="A613" t="s">
        <v>107</v>
      </c>
      <c r="B613" t="s">
        <v>115</v>
      </c>
      <c r="C613" t="s">
        <v>133</v>
      </c>
      <c r="D613">
        <v>2018</v>
      </c>
      <c r="E613">
        <v>61.33</v>
      </c>
      <c r="F613">
        <v>56.67</v>
      </c>
      <c r="G613" t="s">
        <v>14</v>
      </c>
      <c r="H613" t="s">
        <v>14</v>
      </c>
      <c r="I613" t="s">
        <v>14</v>
      </c>
      <c r="J613" t="s">
        <v>14</v>
      </c>
    </row>
    <row r="614" spans="1:10" x14ac:dyDescent="0.35">
      <c r="A614" t="s">
        <v>107</v>
      </c>
      <c r="B614" t="s">
        <v>115</v>
      </c>
      <c r="C614" t="s">
        <v>133</v>
      </c>
      <c r="D614">
        <v>2019</v>
      </c>
      <c r="E614">
        <v>62.33</v>
      </c>
      <c r="F614">
        <v>57</v>
      </c>
      <c r="G614" t="s">
        <v>14</v>
      </c>
      <c r="H614" t="s">
        <v>14</v>
      </c>
      <c r="I614" t="s">
        <v>14</v>
      </c>
      <c r="J614" t="s">
        <v>14</v>
      </c>
    </row>
    <row r="615" spans="1:10" x14ac:dyDescent="0.35">
      <c r="A615" t="s">
        <v>107</v>
      </c>
      <c r="B615" t="s">
        <v>115</v>
      </c>
      <c r="C615" t="s">
        <v>133</v>
      </c>
      <c r="D615">
        <v>2020</v>
      </c>
      <c r="E615">
        <v>63</v>
      </c>
      <c r="F615">
        <v>57.33</v>
      </c>
      <c r="G615" t="s">
        <v>14</v>
      </c>
      <c r="H615" t="s">
        <v>14</v>
      </c>
      <c r="I615" t="s">
        <v>14</v>
      </c>
      <c r="J615" t="s">
        <v>14</v>
      </c>
    </row>
    <row r="616" spans="1:10" x14ac:dyDescent="0.35">
      <c r="A616" t="s">
        <v>134</v>
      </c>
      <c r="B616" t="s">
        <v>135</v>
      </c>
      <c r="C616" t="s">
        <v>136</v>
      </c>
      <c r="D616">
        <v>2015</v>
      </c>
      <c r="E616">
        <v>100</v>
      </c>
      <c r="F616">
        <v>100</v>
      </c>
      <c r="G616">
        <v>23.815995000000001</v>
      </c>
      <c r="H616">
        <v>1350.62</v>
      </c>
      <c r="I616">
        <v>7682300</v>
      </c>
      <c r="J616">
        <v>6.06</v>
      </c>
    </row>
    <row r="617" spans="1:10" x14ac:dyDescent="0.35">
      <c r="A617" t="s">
        <v>134</v>
      </c>
      <c r="B617" t="s">
        <v>135</v>
      </c>
      <c r="C617" t="s">
        <v>136</v>
      </c>
      <c r="D617">
        <v>2016</v>
      </c>
      <c r="E617">
        <v>100</v>
      </c>
      <c r="F617">
        <v>100</v>
      </c>
      <c r="G617">
        <v>24.190906999999999</v>
      </c>
      <c r="H617">
        <v>1206.54</v>
      </c>
      <c r="I617">
        <v>7692020</v>
      </c>
      <c r="J617">
        <v>5.71</v>
      </c>
    </row>
    <row r="618" spans="1:10" x14ac:dyDescent="0.35">
      <c r="A618" t="s">
        <v>134</v>
      </c>
      <c r="B618" t="s">
        <v>135</v>
      </c>
      <c r="C618" t="s">
        <v>136</v>
      </c>
      <c r="D618">
        <v>2017</v>
      </c>
      <c r="E618">
        <v>100</v>
      </c>
      <c r="F618">
        <v>100</v>
      </c>
      <c r="G618">
        <v>24.594201999999999</v>
      </c>
      <c r="H618">
        <v>1326.52</v>
      </c>
      <c r="I618">
        <v>7692020</v>
      </c>
      <c r="J618">
        <v>5.59</v>
      </c>
    </row>
    <row r="619" spans="1:10" x14ac:dyDescent="0.35">
      <c r="A619" t="s">
        <v>134</v>
      </c>
      <c r="B619" t="s">
        <v>135</v>
      </c>
      <c r="C619" t="s">
        <v>136</v>
      </c>
      <c r="D619">
        <v>2018</v>
      </c>
      <c r="E619">
        <v>100</v>
      </c>
      <c r="F619">
        <v>100</v>
      </c>
      <c r="G619">
        <v>24.966643000000001</v>
      </c>
      <c r="H619">
        <v>1428.29</v>
      </c>
      <c r="I619">
        <v>7692020</v>
      </c>
      <c r="J619">
        <v>5.3</v>
      </c>
    </row>
    <row r="620" spans="1:10" x14ac:dyDescent="0.35">
      <c r="A620" t="s">
        <v>134</v>
      </c>
      <c r="B620" t="s">
        <v>135</v>
      </c>
      <c r="C620" t="s">
        <v>136</v>
      </c>
      <c r="D620">
        <v>2019</v>
      </c>
      <c r="E620">
        <v>100</v>
      </c>
      <c r="F620">
        <v>100</v>
      </c>
      <c r="G620">
        <v>25.340216999999999</v>
      </c>
      <c r="H620">
        <v>1392.23</v>
      </c>
      <c r="I620">
        <v>7692020</v>
      </c>
      <c r="J620">
        <v>5.16</v>
      </c>
    </row>
    <row r="621" spans="1:10" x14ac:dyDescent="0.35">
      <c r="A621" t="s">
        <v>134</v>
      </c>
      <c r="B621" t="s">
        <v>135</v>
      </c>
      <c r="C621" t="s">
        <v>136</v>
      </c>
      <c r="D621">
        <v>2020</v>
      </c>
      <c r="E621">
        <v>100</v>
      </c>
      <c r="F621">
        <v>100</v>
      </c>
      <c r="G621">
        <v>25.655289</v>
      </c>
      <c r="H621">
        <v>1326.9</v>
      </c>
      <c r="I621">
        <v>7692020</v>
      </c>
      <c r="J621">
        <v>6.46</v>
      </c>
    </row>
    <row r="622" spans="1:10" x14ac:dyDescent="0.35">
      <c r="A622" t="s">
        <v>134</v>
      </c>
      <c r="B622" t="s">
        <v>135</v>
      </c>
      <c r="C622" t="s">
        <v>137</v>
      </c>
      <c r="D622">
        <v>2015</v>
      </c>
      <c r="E622">
        <v>100</v>
      </c>
      <c r="F622">
        <v>100</v>
      </c>
      <c r="G622">
        <v>4.6093999999999999</v>
      </c>
      <c r="H622">
        <v>178.06</v>
      </c>
      <c r="I622">
        <v>263310</v>
      </c>
      <c r="J622">
        <v>5.42</v>
      </c>
    </row>
    <row r="623" spans="1:10" x14ac:dyDescent="0.35">
      <c r="A623" t="s">
        <v>134</v>
      </c>
      <c r="B623" t="s">
        <v>135</v>
      </c>
      <c r="C623" t="s">
        <v>137</v>
      </c>
      <c r="D623">
        <v>2016</v>
      </c>
      <c r="E623">
        <v>100</v>
      </c>
      <c r="F623">
        <v>100</v>
      </c>
      <c r="G623">
        <v>4.7141000000000002</v>
      </c>
      <c r="H623">
        <v>188.84</v>
      </c>
      <c r="I623">
        <v>263310</v>
      </c>
      <c r="J623">
        <v>5.15</v>
      </c>
    </row>
    <row r="624" spans="1:10" x14ac:dyDescent="0.35">
      <c r="A624" t="s">
        <v>134</v>
      </c>
      <c r="B624" t="s">
        <v>135</v>
      </c>
      <c r="C624" t="s">
        <v>137</v>
      </c>
      <c r="D624">
        <v>2017</v>
      </c>
      <c r="E624">
        <v>100</v>
      </c>
      <c r="F624">
        <v>100</v>
      </c>
      <c r="G624">
        <v>4.8136000000000001</v>
      </c>
      <c r="H624">
        <v>206.62</v>
      </c>
      <c r="I624">
        <v>263310</v>
      </c>
      <c r="J624">
        <v>4.74</v>
      </c>
    </row>
    <row r="625" spans="1:10" x14ac:dyDescent="0.35">
      <c r="A625" t="s">
        <v>134</v>
      </c>
      <c r="B625" t="s">
        <v>135</v>
      </c>
      <c r="C625" t="s">
        <v>137</v>
      </c>
      <c r="D625">
        <v>2018</v>
      </c>
      <c r="E625">
        <v>100</v>
      </c>
      <c r="F625">
        <v>100</v>
      </c>
      <c r="G625">
        <v>4.9005999999999998</v>
      </c>
      <c r="H625">
        <v>211.95</v>
      </c>
      <c r="I625">
        <v>263310</v>
      </c>
      <c r="J625">
        <v>4.34</v>
      </c>
    </row>
    <row r="626" spans="1:10" x14ac:dyDescent="0.35">
      <c r="A626" t="s">
        <v>134</v>
      </c>
      <c r="B626" t="s">
        <v>135</v>
      </c>
      <c r="C626" t="s">
        <v>137</v>
      </c>
      <c r="D626">
        <v>2019</v>
      </c>
      <c r="E626">
        <v>100</v>
      </c>
      <c r="F626">
        <v>100</v>
      </c>
      <c r="G626">
        <v>4.9791999999999996</v>
      </c>
      <c r="H626">
        <v>213.43</v>
      </c>
      <c r="I626">
        <v>263310</v>
      </c>
      <c r="J626">
        <v>4.1100000000000003</v>
      </c>
    </row>
    <row r="627" spans="1:10" x14ac:dyDescent="0.35">
      <c r="A627" t="s">
        <v>134</v>
      </c>
      <c r="B627" t="s">
        <v>135</v>
      </c>
      <c r="C627" t="s">
        <v>137</v>
      </c>
      <c r="D627">
        <v>2020</v>
      </c>
      <c r="E627">
        <v>100</v>
      </c>
      <c r="F627">
        <v>100</v>
      </c>
      <c r="G627">
        <v>5.0902000000000003</v>
      </c>
      <c r="H627">
        <v>211.73</v>
      </c>
      <c r="I627">
        <v>263310</v>
      </c>
      <c r="J627">
        <v>4.5999999999999996</v>
      </c>
    </row>
    <row r="628" spans="1:10" x14ac:dyDescent="0.35">
      <c r="A628" t="s">
        <v>134</v>
      </c>
      <c r="B628" t="s">
        <v>138</v>
      </c>
      <c r="C628" t="s">
        <v>139</v>
      </c>
      <c r="D628">
        <v>2015</v>
      </c>
      <c r="E628">
        <v>93.67</v>
      </c>
      <c r="F628">
        <v>96</v>
      </c>
      <c r="G628">
        <v>0.91720000000000002</v>
      </c>
      <c r="H628">
        <v>4.68</v>
      </c>
      <c r="I628">
        <v>18270</v>
      </c>
      <c r="J628" t="s">
        <v>14</v>
      </c>
    </row>
    <row r="629" spans="1:10" x14ac:dyDescent="0.35">
      <c r="A629" t="s">
        <v>134</v>
      </c>
      <c r="B629" t="s">
        <v>138</v>
      </c>
      <c r="C629" t="s">
        <v>139</v>
      </c>
      <c r="D629">
        <v>2016</v>
      </c>
      <c r="E629">
        <v>93.67</v>
      </c>
      <c r="F629">
        <v>97.33</v>
      </c>
      <c r="G629">
        <v>0.91837100000000005</v>
      </c>
      <c r="H629">
        <v>4.93</v>
      </c>
      <c r="I629">
        <v>18270</v>
      </c>
      <c r="J629">
        <v>4.32</v>
      </c>
    </row>
    <row r="630" spans="1:10" x14ac:dyDescent="0.35">
      <c r="A630" t="s">
        <v>134</v>
      </c>
      <c r="B630" t="s">
        <v>138</v>
      </c>
      <c r="C630" t="s">
        <v>139</v>
      </c>
      <c r="D630">
        <v>2017</v>
      </c>
      <c r="E630">
        <v>93.67</v>
      </c>
      <c r="F630">
        <v>98.33</v>
      </c>
      <c r="G630">
        <v>0.91901900000000003</v>
      </c>
      <c r="H630">
        <v>5.35</v>
      </c>
      <c r="I630">
        <v>18270</v>
      </c>
      <c r="J630" t="s">
        <v>14</v>
      </c>
    </row>
    <row r="631" spans="1:10" x14ac:dyDescent="0.35">
      <c r="A631" t="s">
        <v>134</v>
      </c>
      <c r="B631" t="s">
        <v>138</v>
      </c>
      <c r="C631" t="s">
        <v>139</v>
      </c>
      <c r="D631">
        <v>2018</v>
      </c>
      <c r="E631">
        <v>93.67</v>
      </c>
      <c r="F631">
        <v>99</v>
      </c>
      <c r="G631">
        <v>0.91899600000000004</v>
      </c>
      <c r="H631">
        <v>5.58</v>
      </c>
      <c r="I631">
        <v>18270</v>
      </c>
      <c r="J631" t="s">
        <v>14</v>
      </c>
    </row>
    <row r="632" spans="1:10" x14ac:dyDescent="0.35">
      <c r="A632" t="s">
        <v>134</v>
      </c>
      <c r="B632" t="s">
        <v>138</v>
      </c>
      <c r="C632" t="s">
        <v>139</v>
      </c>
      <c r="D632">
        <v>2019</v>
      </c>
      <c r="E632">
        <v>93.67</v>
      </c>
      <c r="F632">
        <v>99</v>
      </c>
      <c r="G632">
        <v>0.91846499999999998</v>
      </c>
      <c r="H632">
        <v>5.48</v>
      </c>
      <c r="I632">
        <v>18270</v>
      </c>
      <c r="J632" t="s">
        <v>14</v>
      </c>
    </row>
    <row r="633" spans="1:10" x14ac:dyDescent="0.35">
      <c r="A633" t="s">
        <v>134</v>
      </c>
      <c r="B633" t="s">
        <v>138</v>
      </c>
      <c r="C633" t="s">
        <v>139</v>
      </c>
      <c r="D633">
        <v>2020</v>
      </c>
      <c r="E633">
        <v>93.67</v>
      </c>
      <c r="F633">
        <v>99</v>
      </c>
      <c r="G633">
        <v>0.92042199999999996</v>
      </c>
      <c r="H633">
        <v>4.4800000000000004</v>
      </c>
      <c r="I633">
        <v>18270</v>
      </c>
      <c r="J633" t="s">
        <v>14</v>
      </c>
    </row>
    <row r="634" spans="1:10" x14ac:dyDescent="0.35">
      <c r="A634" t="s">
        <v>134</v>
      </c>
      <c r="B634" t="s">
        <v>138</v>
      </c>
      <c r="C634" t="s">
        <v>140</v>
      </c>
      <c r="D634">
        <v>2015</v>
      </c>
      <c r="E634">
        <v>98</v>
      </c>
      <c r="F634">
        <v>100</v>
      </c>
      <c r="G634">
        <v>0.26945999999999998</v>
      </c>
      <c r="H634">
        <v>8.74</v>
      </c>
      <c r="I634">
        <v>18280</v>
      </c>
      <c r="J634" t="s">
        <v>14</v>
      </c>
    </row>
    <row r="635" spans="1:10" x14ac:dyDescent="0.35">
      <c r="A635" t="s">
        <v>134</v>
      </c>
      <c r="B635" t="s">
        <v>138</v>
      </c>
      <c r="C635" t="s">
        <v>140</v>
      </c>
      <c r="D635">
        <v>2016</v>
      </c>
      <c r="E635">
        <v>98</v>
      </c>
      <c r="F635">
        <v>100</v>
      </c>
      <c r="G635">
        <v>0.27022000000000002</v>
      </c>
      <c r="H635">
        <v>8.7200000000000006</v>
      </c>
      <c r="I635">
        <v>18280</v>
      </c>
      <c r="J635" t="s">
        <v>14</v>
      </c>
    </row>
    <row r="636" spans="1:10" x14ac:dyDescent="0.35">
      <c r="A636" t="s">
        <v>134</v>
      </c>
      <c r="B636" t="s">
        <v>138</v>
      </c>
      <c r="C636" t="s">
        <v>140</v>
      </c>
      <c r="D636">
        <v>2017</v>
      </c>
      <c r="E636">
        <v>99</v>
      </c>
      <c r="F636">
        <v>100</v>
      </c>
      <c r="G636">
        <v>0.27081</v>
      </c>
      <c r="H636">
        <v>9.17</v>
      </c>
      <c r="I636">
        <v>18280</v>
      </c>
      <c r="J636">
        <v>11.68</v>
      </c>
    </row>
    <row r="637" spans="1:10" x14ac:dyDescent="0.35">
      <c r="A637" t="s">
        <v>134</v>
      </c>
      <c r="B637" t="s">
        <v>138</v>
      </c>
      <c r="C637" t="s">
        <v>140</v>
      </c>
      <c r="D637">
        <v>2018</v>
      </c>
      <c r="E637">
        <v>99</v>
      </c>
      <c r="F637">
        <v>100</v>
      </c>
      <c r="G637">
        <v>0.27117000000000002</v>
      </c>
      <c r="H637">
        <v>9.85</v>
      </c>
      <c r="I637">
        <v>18280</v>
      </c>
      <c r="J637">
        <v>11.7</v>
      </c>
    </row>
    <row r="638" spans="1:10" x14ac:dyDescent="0.35">
      <c r="A638" t="s">
        <v>134</v>
      </c>
      <c r="B638" t="s">
        <v>138</v>
      </c>
      <c r="C638" t="s">
        <v>140</v>
      </c>
      <c r="D638">
        <v>2019</v>
      </c>
      <c r="E638">
        <v>99</v>
      </c>
      <c r="F638">
        <v>100</v>
      </c>
      <c r="G638">
        <v>0.27123000000000003</v>
      </c>
      <c r="H638">
        <v>9.44</v>
      </c>
      <c r="I638">
        <v>18280</v>
      </c>
      <c r="J638">
        <v>10.88</v>
      </c>
    </row>
    <row r="639" spans="1:10" x14ac:dyDescent="0.35">
      <c r="A639" t="s">
        <v>134</v>
      </c>
      <c r="B639" t="s">
        <v>138</v>
      </c>
      <c r="C639" t="s">
        <v>140</v>
      </c>
      <c r="D639">
        <v>2020</v>
      </c>
      <c r="E639">
        <v>99</v>
      </c>
      <c r="F639">
        <v>100</v>
      </c>
      <c r="G639">
        <v>0.27112999999999998</v>
      </c>
      <c r="H639">
        <v>9.44</v>
      </c>
      <c r="I639">
        <v>18280</v>
      </c>
      <c r="J639">
        <v>13.56</v>
      </c>
    </row>
    <row r="640" spans="1:10" x14ac:dyDescent="0.35">
      <c r="A640" t="s">
        <v>134</v>
      </c>
      <c r="B640" t="s">
        <v>138</v>
      </c>
      <c r="C640" t="s">
        <v>141</v>
      </c>
      <c r="D640">
        <v>2015</v>
      </c>
      <c r="E640">
        <v>53.67</v>
      </c>
      <c r="F640">
        <v>28.33</v>
      </c>
      <c r="G640">
        <v>8.6821739999999998</v>
      </c>
      <c r="H640">
        <v>21.72</v>
      </c>
      <c r="I640">
        <v>452860</v>
      </c>
      <c r="J640" t="s">
        <v>14</v>
      </c>
    </row>
    <row r="641" spans="1:10" x14ac:dyDescent="0.35">
      <c r="A641" t="s">
        <v>134</v>
      </c>
      <c r="B641" t="s">
        <v>138</v>
      </c>
      <c r="C641" t="s">
        <v>141</v>
      </c>
      <c r="D641">
        <v>2016</v>
      </c>
      <c r="E641">
        <v>54.33</v>
      </c>
      <c r="F641">
        <v>28</v>
      </c>
      <c r="G641">
        <v>8.8991690000000006</v>
      </c>
      <c r="H641">
        <v>20.76</v>
      </c>
      <c r="I641">
        <v>452860</v>
      </c>
      <c r="J641" t="s">
        <v>14</v>
      </c>
    </row>
    <row r="642" spans="1:10" x14ac:dyDescent="0.35">
      <c r="A642" t="s">
        <v>134</v>
      </c>
      <c r="B642" t="s">
        <v>138</v>
      </c>
      <c r="C642" t="s">
        <v>141</v>
      </c>
      <c r="D642">
        <v>2017</v>
      </c>
      <c r="E642">
        <v>55</v>
      </c>
      <c r="F642">
        <v>27.67</v>
      </c>
      <c r="G642">
        <v>9.1147960000000001</v>
      </c>
      <c r="H642">
        <v>22.74</v>
      </c>
      <c r="I642">
        <v>452860</v>
      </c>
      <c r="J642" t="s">
        <v>14</v>
      </c>
    </row>
    <row r="643" spans="1:10" x14ac:dyDescent="0.35">
      <c r="A643" t="s">
        <v>134</v>
      </c>
      <c r="B643" t="s">
        <v>138</v>
      </c>
      <c r="C643" t="s">
        <v>141</v>
      </c>
      <c r="D643">
        <v>2018</v>
      </c>
      <c r="E643">
        <v>55.67</v>
      </c>
      <c r="F643">
        <v>27.67</v>
      </c>
      <c r="G643">
        <v>9.3292269999999995</v>
      </c>
      <c r="H643">
        <v>24.11</v>
      </c>
      <c r="I643">
        <v>452860</v>
      </c>
      <c r="J643" t="s">
        <v>14</v>
      </c>
    </row>
    <row r="644" spans="1:10" x14ac:dyDescent="0.35">
      <c r="A644" t="s">
        <v>134</v>
      </c>
      <c r="B644" t="s">
        <v>138</v>
      </c>
      <c r="C644" t="s">
        <v>141</v>
      </c>
      <c r="D644">
        <v>2019</v>
      </c>
      <c r="E644">
        <v>56.33</v>
      </c>
      <c r="F644">
        <v>27.67</v>
      </c>
      <c r="G644">
        <v>9.5424860000000002</v>
      </c>
      <c r="H644">
        <v>24.75</v>
      </c>
      <c r="I644">
        <v>452860</v>
      </c>
      <c r="J644" t="s">
        <v>14</v>
      </c>
    </row>
    <row r="645" spans="1:10" x14ac:dyDescent="0.35">
      <c r="A645" t="s">
        <v>134</v>
      </c>
      <c r="B645" t="s">
        <v>138</v>
      </c>
      <c r="C645" t="s">
        <v>141</v>
      </c>
      <c r="D645">
        <v>2020</v>
      </c>
      <c r="E645">
        <v>56.67</v>
      </c>
      <c r="F645">
        <v>27.67</v>
      </c>
      <c r="G645">
        <v>9.7496399999999994</v>
      </c>
      <c r="H645">
        <v>23.85</v>
      </c>
      <c r="I645">
        <v>452860</v>
      </c>
      <c r="J645" t="s">
        <v>14</v>
      </c>
    </row>
    <row r="646" spans="1:10" x14ac:dyDescent="0.35">
      <c r="A646" t="s">
        <v>134</v>
      </c>
      <c r="B646" t="s">
        <v>138</v>
      </c>
      <c r="C646" t="s">
        <v>142</v>
      </c>
      <c r="D646">
        <v>2015</v>
      </c>
      <c r="E646">
        <v>74.33</v>
      </c>
      <c r="F646">
        <v>42.67</v>
      </c>
      <c r="G646">
        <v>0.61265999999999998</v>
      </c>
      <c r="H646">
        <v>1.31</v>
      </c>
      <c r="I646">
        <v>27990</v>
      </c>
      <c r="J646" t="s">
        <v>14</v>
      </c>
    </row>
    <row r="647" spans="1:10" x14ac:dyDescent="0.35">
      <c r="A647" t="s">
        <v>134</v>
      </c>
      <c r="B647" t="s">
        <v>138</v>
      </c>
      <c r="C647" t="s">
        <v>142</v>
      </c>
      <c r="D647">
        <v>2016</v>
      </c>
      <c r="E647">
        <v>74</v>
      </c>
      <c r="F647">
        <v>43.33</v>
      </c>
      <c r="G647">
        <v>0.62810200000000005</v>
      </c>
      <c r="H647">
        <v>1.38</v>
      </c>
      <c r="I647">
        <v>27990</v>
      </c>
      <c r="J647" t="s">
        <v>14</v>
      </c>
    </row>
    <row r="648" spans="1:10" x14ac:dyDescent="0.35">
      <c r="A648" t="s">
        <v>134</v>
      </c>
      <c r="B648" t="s">
        <v>138</v>
      </c>
      <c r="C648" t="s">
        <v>142</v>
      </c>
      <c r="D648">
        <v>2017</v>
      </c>
      <c r="E648">
        <v>73.33</v>
      </c>
      <c r="F648">
        <v>44</v>
      </c>
      <c r="G648">
        <v>0.64363400000000004</v>
      </c>
      <c r="H648">
        <v>1.47</v>
      </c>
      <c r="I648">
        <v>27990</v>
      </c>
      <c r="J648" t="s">
        <v>14</v>
      </c>
    </row>
    <row r="649" spans="1:10" x14ac:dyDescent="0.35">
      <c r="A649" t="s">
        <v>134</v>
      </c>
      <c r="B649" t="s">
        <v>138</v>
      </c>
      <c r="C649" t="s">
        <v>142</v>
      </c>
      <c r="D649">
        <v>2018</v>
      </c>
      <c r="E649">
        <v>72.33</v>
      </c>
      <c r="F649">
        <v>44.33</v>
      </c>
      <c r="G649">
        <v>0.65924899999999997</v>
      </c>
      <c r="H649">
        <v>1.62</v>
      </c>
      <c r="I649">
        <v>27990</v>
      </c>
      <c r="J649" t="s">
        <v>14</v>
      </c>
    </row>
    <row r="650" spans="1:10" x14ac:dyDescent="0.35">
      <c r="A650" t="s">
        <v>134</v>
      </c>
      <c r="B650" t="s">
        <v>138</v>
      </c>
      <c r="C650" t="s">
        <v>142</v>
      </c>
      <c r="D650">
        <v>2019</v>
      </c>
      <c r="E650">
        <v>72.33</v>
      </c>
      <c r="F650">
        <v>44.33</v>
      </c>
      <c r="G650">
        <v>0.67499299999999995</v>
      </c>
      <c r="H650">
        <v>1.62</v>
      </c>
      <c r="I650">
        <v>27990</v>
      </c>
      <c r="J650" t="s">
        <v>14</v>
      </c>
    </row>
    <row r="651" spans="1:10" x14ac:dyDescent="0.35">
      <c r="A651" t="s">
        <v>134</v>
      </c>
      <c r="B651" t="s">
        <v>138</v>
      </c>
      <c r="C651" t="s">
        <v>142</v>
      </c>
      <c r="D651">
        <v>2020</v>
      </c>
      <c r="E651">
        <v>72.33</v>
      </c>
      <c r="F651">
        <v>44.67</v>
      </c>
      <c r="G651">
        <v>0.691191</v>
      </c>
      <c r="H651">
        <v>1.54</v>
      </c>
      <c r="I651">
        <v>27990</v>
      </c>
      <c r="J651" t="s">
        <v>14</v>
      </c>
    </row>
    <row r="652" spans="1:10" x14ac:dyDescent="0.35">
      <c r="A652" t="s">
        <v>134</v>
      </c>
      <c r="B652" t="s">
        <v>138</v>
      </c>
      <c r="C652" t="s">
        <v>143</v>
      </c>
      <c r="D652">
        <v>2015</v>
      </c>
      <c r="E652">
        <v>92</v>
      </c>
      <c r="F652">
        <v>56</v>
      </c>
      <c r="G652">
        <v>0.27643800000000002</v>
      </c>
      <c r="H652">
        <v>0.73</v>
      </c>
      <c r="I652">
        <v>12190</v>
      </c>
      <c r="J652" t="s">
        <v>14</v>
      </c>
    </row>
    <row r="653" spans="1:10" x14ac:dyDescent="0.35">
      <c r="A653" t="s">
        <v>134</v>
      </c>
      <c r="B653" t="s">
        <v>138</v>
      </c>
      <c r="C653" t="s">
        <v>143</v>
      </c>
      <c r="D653">
        <v>2016</v>
      </c>
      <c r="E653">
        <v>92.67</v>
      </c>
      <c r="F653">
        <v>55.67</v>
      </c>
      <c r="G653">
        <v>0.28321800000000003</v>
      </c>
      <c r="H653">
        <v>0.78</v>
      </c>
      <c r="I653">
        <v>12190</v>
      </c>
      <c r="J653" t="s">
        <v>14</v>
      </c>
    </row>
    <row r="654" spans="1:10" x14ac:dyDescent="0.35">
      <c r="A654" t="s">
        <v>134</v>
      </c>
      <c r="B654" t="s">
        <v>138</v>
      </c>
      <c r="C654" t="s">
        <v>143</v>
      </c>
      <c r="D654">
        <v>2017</v>
      </c>
      <c r="E654">
        <v>93</v>
      </c>
      <c r="F654">
        <v>55.67</v>
      </c>
      <c r="G654">
        <v>0.29023900000000002</v>
      </c>
      <c r="H654">
        <v>0.88</v>
      </c>
      <c r="I654">
        <v>12190</v>
      </c>
      <c r="J654" t="s">
        <v>14</v>
      </c>
    </row>
    <row r="655" spans="1:10" x14ac:dyDescent="0.35">
      <c r="A655" t="s">
        <v>134</v>
      </c>
      <c r="B655" t="s">
        <v>138</v>
      </c>
      <c r="C655" t="s">
        <v>143</v>
      </c>
      <c r="D655">
        <v>2018</v>
      </c>
      <c r="E655">
        <v>93</v>
      </c>
      <c r="F655">
        <v>55.67</v>
      </c>
      <c r="G655">
        <v>0.29729800000000001</v>
      </c>
      <c r="H655">
        <v>0.91</v>
      </c>
      <c r="I655">
        <v>12190</v>
      </c>
      <c r="J655" t="s">
        <v>14</v>
      </c>
    </row>
    <row r="656" spans="1:10" x14ac:dyDescent="0.35">
      <c r="A656" t="s">
        <v>134</v>
      </c>
      <c r="B656" t="s">
        <v>138</v>
      </c>
      <c r="C656" t="s">
        <v>143</v>
      </c>
      <c r="D656">
        <v>2019</v>
      </c>
      <c r="E656">
        <v>93</v>
      </c>
      <c r="F656">
        <v>55.67</v>
      </c>
      <c r="G656">
        <v>0.30440400000000001</v>
      </c>
      <c r="H656">
        <v>0.94</v>
      </c>
      <c r="I656">
        <v>12190</v>
      </c>
      <c r="J656">
        <v>5.44</v>
      </c>
    </row>
    <row r="657" spans="1:10" x14ac:dyDescent="0.35">
      <c r="A657" t="s">
        <v>134</v>
      </c>
      <c r="B657" t="s">
        <v>138</v>
      </c>
      <c r="C657" t="s">
        <v>143</v>
      </c>
      <c r="D657">
        <v>2020</v>
      </c>
      <c r="E657">
        <v>93</v>
      </c>
      <c r="F657">
        <v>55.67</v>
      </c>
      <c r="G657">
        <v>0.31168499999999999</v>
      </c>
      <c r="H657">
        <v>0.9</v>
      </c>
      <c r="I657">
        <v>12190</v>
      </c>
      <c r="J657">
        <v>4.05</v>
      </c>
    </row>
    <row r="658" spans="1:10" x14ac:dyDescent="0.35">
      <c r="A658" t="s">
        <v>134</v>
      </c>
      <c r="B658" t="s">
        <v>144</v>
      </c>
      <c r="C658" t="s">
        <v>145</v>
      </c>
      <c r="D658">
        <v>2015</v>
      </c>
      <c r="E658">
        <v>100</v>
      </c>
      <c r="F658">
        <v>90</v>
      </c>
      <c r="G658">
        <v>0.16797799999999999</v>
      </c>
      <c r="H658">
        <v>5.8</v>
      </c>
      <c r="I658">
        <v>540</v>
      </c>
      <c r="J658">
        <v>6.9</v>
      </c>
    </row>
    <row r="659" spans="1:10" x14ac:dyDescent="0.35">
      <c r="A659" t="s">
        <v>134</v>
      </c>
      <c r="B659" t="s">
        <v>144</v>
      </c>
      <c r="C659" t="s">
        <v>145</v>
      </c>
      <c r="D659">
        <v>2016</v>
      </c>
      <c r="E659">
        <v>100</v>
      </c>
      <c r="F659">
        <v>90</v>
      </c>
      <c r="G659">
        <v>0.168346</v>
      </c>
      <c r="H659">
        <v>5.9</v>
      </c>
      <c r="I659">
        <v>540</v>
      </c>
      <c r="J659">
        <v>5.4</v>
      </c>
    </row>
    <row r="660" spans="1:10" x14ac:dyDescent="0.35">
      <c r="A660" t="s">
        <v>134</v>
      </c>
      <c r="B660" t="s">
        <v>144</v>
      </c>
      <c r="C660" t="s">
        <v>145</v>
      </c>
      <c r="D660">
        <v>2017</v>
      </c>
      <c r="E660">
        <v>100</v>
      </c>
      <c r="F660" t="s">
        <v>14</v>
      </c>
      <c r="G660">
        <v>0.16860600000000001</v>
      </c>
      <c r="H660">
        <v>6.01</v>
      </c>
      <c r="I660">
        <v>540</v>
      </c>
      <c r="J660" t="s">
        <v>14</v>
      </c>
    </row>
    <row r="661" spans="1:10" x14ac:dyDescent="0.35">
      <c r="A661" t="s">
        <v>134</v>
      </c>
      <c r="B661" t="s">
        <v>144</v>
      </c>
      <c r="C661" t="s">
        <v>145</v>
      </c>
      <c r="D661">
        <v>2018</v>
      </c>
      <c r="E661">
        <v>100</v>
      </c>
      <c r="F661" t="s">
        <v>14</v>
      </c>
      <c r="G661">
        <v>0.16867799999999999</v>
      </c>
      <c r="H661">
        <v>6.06</v>
      </c>
      <c r="I661">
        <v>540</v>
      </c>
      <c r="J661" t="s">
        <v>14</v>
      </c>
    </row>
    <row r="662" spans="1:10" x14ac:dyDescent="0.35">
      <c r="A662" t="s">
        <v>134</v>
      </c>
      <c r="B662" t="s">
        <v>144</v>
      </c>
      <c r="C662" t="s">
        <v>145</v>
      </c>
      <c r="D662">
        <v>2019</v>
      </c>
      <c r="E662">
        <v>100</v>
      </c>
      <c r="F662" t="s">
        <v>14</v>
      </c>
      <c r="G662">
        <v>0.168624</v>
      </c>
      <c r="H662">
        <v>6.37</v>
      </c>
      <c r="I662">
        <v>540</v>
      </c>
      <c r="J662" t="s">
        <v>14</v>
      </c>
    </row>
    <row r="663" spans="1:10" x14ac:dyDescent="0.35">
      <c r="A663" t="s">
        <v>134</v>
      </c>
      <c r="B663" t="s">
        <v>144</v>
      </c>
      <c r="C663" t="s">
        <v>145</v>
      </c>
      <c r="D663">
        <v>2020</v>
      </c>
      <c r="E663">
        <v>100</v>
      </c>
      <c r="F663" t="s">
        <v>14</v>
      </c>
      <c r="G663">
        <v>0.16923099999999999</v>
      </c>
      <c r="H663">
        <v>5.89</v>
      </c>
      <c r="I663">
        <v>540</v>
      </c>
      <c r="J663" t="s">
        <v>14</v>
      </c>
    </row>
    <row r="664" spans="1:10" x14ac:dyDescent="0.35">
      <c r="A664" t="s">
        <v>134</v>
      </c>
      <c r="B664" t="s">
        <v>144</v>
      </c>
      <c r="C664" t="s">
        <v>146</v>
      </c>
      <c r="D664">
        <v>2015</v>
      </c>
      <c r="E664">
        <v>73.67</v>
      </c>
      <c r="F664">
        <v>43</v>
      </c>
      <c r="G664">
        <v>0.11670700000000001</v>
      </c>
      <c r="H664">
        <v>0.17</v>
      </c>
      <c r="I664">
        <v>810</v>
      </c>
      <c r="J664">
        <v>9.33</v>
      </c>
    </row>
    <row r="665" spans="1:10" x14ac:dyDescent="0.35">
      <c r="A665" t="s">
        <v>134</v>
      </c>
      <c r="B665" t="s">
        <v>144</v>
      </c>
      <c r="C665" t="s">
        <v>146</v>
      </c>
      <c r="D665">
        <v>2016</v>
      </c>
      <c r="E665">
        <v>74.33</v>
      </c>
      <c r="F665">
        <v>43.67</v>
      </c>
      <c r="G665">
        <v>0.11851299999999999</v>
      </c>
      <c r="H665">
        <v>0.18</v>
      </c>
      <c r="I665">
        <v>810</v>
      </c>
      <c r="J665" t="s">
        <v>14</v>
      </c>
    </row>
    <row r="666" spans="1:10" x14ac:dyDescent="0.35">
      <c r="A666" t="s">
        <v>134</v>
      </c>
      <c r="B666" t="s">
        <v>144</v>
      </c>
      <c r="C666" t="s">
        <v>146</v>
      </c>
      <c r="D666">
        <v>2017</v>
      </c>
      <c r="E666">
        <v>75</v>
      </c>
      <c r="F666">
        <v>44</v>
      </c>
      <c r="G666">
        <v>0.120362</v>
      </c>
      <c r="H666">
        <v>0.19</v>
      </c>
      <c r="I666">
        <v>810</v>
      </c>
      <c r="J666" t="s">
        <v>14</v>
      </c>
    </row>
    <row r="667" spans="1:10" x14ac:dyDescent="0.35">
      <c r="A667" t="s">
        <v>134</v>
      </c>
      <c r="B667" t="s">
        <v>144</v>
      </c>
      <c r="C667" t="s">
        <v>146</v>
      </c>
      <c r="D667">
        <v>2018</v>
      </c>
      <c r="E667">
        <v>75.33</v>
      </c>
      <c r="F667">
        <v>44.33</v>
      </c>
      <c r="G667">
        <v>0.12226099999999999</v>
      </c>
      <c r="H667">
        <v>0.2</v>
      </c>
      <c r="I667">
        <v>810</v>
      </c>
      <c r="J667" t="s">
        <v>14</v>
      </c>
    </row>
    <row r="668" spans="1:10" x14ac:dyDescent="0.35">
      <c r="A668" t="s">
        <v>134</v>
      </c>
      <c r="B668" t="s">
        <v>144</v>
      </c>
      <c r="C668" t="s">
        <v>146</v>
      </c>
      <c r="D668">
        <v>2019</v>
      </c>
      <c r="E668">
        <v>76</v>
      </c>
      <c r="F668">
        <v>44.67</v>
      </c>
      <c r="G668">
        <v>0.124241</v>
      </c>
      <c r="H668">
        <v>0.18</v>
      </c>
      <c r="I668">
        <v>810</v>
      </c>
      <c r="J668">
        <v>8.56</v>
      </c>
    </row>
    <row r="669" spans="1:10" x14ac:dyDescent="0.35">
      <c r="A669" t="s">
        <v>134</v>
      </c>
      <c r="B669" t="s">
        <v>144</v>
      </c>
      <c r="C669" t="s">
        <v>146</v>
      </c>
      <c r="D669">
        <v>2020</v>
      </c>
      <c r="E669">
        <v>77</v>
      </c>
      <c r="F669">
        <v>45.33</v>
      </c>
      <c r="G669">
        <v>0.12646299999999999</v>
      </c>
      <c r="H669">
        <v>0.18</v>
      </c>
      <c r="I669">
        <v>810</v>
      </c>
      <c r="J669">
        <v>10.97</v>
      </c>
    </row>
    <row r="670" spans="1:10" x14ac:dyDescent="0.35">
      <c r="A670" t="s">
        <v>134</v>
      </c>
      <c r="B670" t="s">
        <v>144</v>
      </c>
      <c r="C670" t="s">
        <v>147</v>
      </c>
      <c r="D670">
        <v>2015</v>
      </c>
      <c r="E670">
        <v>89.33</v>
      </c>
      <c r="F670">
        <v>77.67</v>
      </c>
      <c r="G670">
        <v>4.9410000000000003E-2</v>
      </c>
      <c r="H670">
        <v>0.18</v>
      </c>
      <c r="I670">
        <v>180</v>
      </c>
      <c r="J670" t="s">
        <v>14</v>
      </c>
    </row>
    <row r="671" spans="1:10" x14ac:dyDescent="0.35">
      <c r="A671" t="s">
        <v>134</v>
      </c>
      <c r="B671" t="s">
        <v>144</v>
      </c>
      <c r="C671" t="s">
        <v>147</v>
      </c>
      <c r="D671">
        <v>2016</v>
      </c>
      <c r="E671">
        <v>89.67</v>
      </c>
      <c r="F671">
        <v>77.67</v>
      </c>
      <c r="G671">
        <v>4.8328999999999997E-2</v>
      </c>
      <c r="H671">
        <v>0.2</v>
      </c>
      <c r="I671">
        <v>180</v>
      </c>
      <c r="J671" t="s">
        <v>14</v>
      </c>
    </row>
    <row r="672" spans="1:10" x14ac:dyDescent="0.35">
      <c r="A672" t="s">
        <v>134</v>
      </c>
      <c r="B672" t="s">
        <v>144</v>
      </c>
      <c r="C672" t="s">
        <v>147</v>
      </c>
      <c r="D672">
        <v>2017</v>
      </c>
      <c r="E672">
        <v>89.67</v>
      </c>
      <c r="F672">
        <v>78</v>
      </c>
      <c r="G672">
        <v>4.7187E-2</v>
      </c>
      <c r="H672">
        <v>0.21</v>
      </c>
      <c r="I672">
        <v>180</v>
      </c>
      <c r="J672" t="s">
        <v>14</v>
      </c>
    </row>
    <row r="673" spans="1:10" x14ac:dyDescent="0.35">
      <c r="A673" t="s">
        <v>134</v>
      </c>
      <c r="B673" t="s">
        <v>144</v>
      </c>
      <c r="C673" t="s">
        <v>147</v>
      </c>
      <c r="D673">
        <v>2018</v>
      </c>
      <c r="E673">
        <v>90</v>
      </c>
      <c r="F673">
        <v>78</v>
      </c>
      <c r="G673">
        <v>4.5989000000000002E-2</v>
      </c>
      <c r="H673">
        <v>0.22</v>
      </c>
      <c r="I673">
        <v>180</v>
      </c>
      <c r="J673" t="s">
        <v>14</v>
      </c>
    </row>
    <row r="674" spans="1:10" x14ac:dyDescent="0.35">
      <c r="A674" t="s">
        <v>134</v>
      </c>
      <c r="B674" t="s">
        <v>144</v>
      </c>
      <c r="C674" t="s">
        <v>147</v>
      </c>
      <c r="D674">
        <v>2019</v>
      </c>
      <c r="E674">
        <v>90</v>
      </c>
      <c r="F674">
        <v>78</v>
      </c>
      <c r="G674">
        <v>4.4727999999999997E-2</v>
      </c>
      <c r="H674">
        <v>0.23</v>
      </c>
      <c r="I674">
        <v>180</v>
      </c>
      <c r="J674">
        <v>6.34</v>
      </c>
    </row>
    <row r="675" spans="1:10" x14ac:dyDescent="0.35">
      <c r="A675" t="s">
        <v>134</v>
      </c>
      <c r="B675" t="s">
        <v>144</v>
      </c>
      <c r="C675" t="s">
        <v>147</v>
      </c>
      <c r="D675">
        <v>2020</v>
      </c>
      <c r="E675">
        <v>90</v>
      </c>
      <c r="F675">
        <v>78</v>
      </c>
      <c r="G675">
        <v>4.3413E-2</v>
      </c>
      <c r="H675">
        <v>0.24</v>
      </c>
      <c r="I675">
        <v>180</v>
      </c>
      <c r="J675" t="s">
        <v>14</v>
      </c>
    </row>
    <row r="676" spans="1:10" x14ac:dyDescent="0.35">
      <c r="A676" t="s">
        <v>134</v>
      </c>
      <c r="B676" t="s">
        <v>144</v>
      </c>
      <c r="C676" t="s">
        <v>148</v>
      </c>
      <c r="D676">
        <v>2015</v>
      </c>
      <c r="E676">
        <v>88</v>
      </c>
      <c r="F676">
        <v>88</v>
      </c>
      <c r="G676" t="s">
        <v>14</v>
      </c>
      <c r="H676" t="s">
        <v>14</v>
      </c>
      <c r="I676" t="s">
        <v>14</v>
      </c>
      <c r="J676" t="s">
        <v>14</v>
      </c>
    </row>
    <row r="677" spans="1:10" x14ac:dyDescent="0.35">
      <c r="A677" t="s">
        <v>134</v>
      </c>
      <c r="B677" t="s">
        <v>144</v>
      </c>
      <c r="C677" t="s">
        <v>148</v>
      </c>
      <c r="D677">
        <v>2016</v>
      </c>
      <c r="E677">
        <v>88</v>
      </c>
      <c r="F677">
        <v>88</v>
      </c>
      <c r="G677" t="s">
        <v>14</v>
      </c>
      <c r="H677" t="s">
        <v>14</v>
      </c>
      <c r="I677" t="s">
        <v>14</v>
      </c>
      <c r="J677" t="s">
        <v>14</v>
      </c>
    </row>
    <row r="678" spans="1:10" x14ac:dyDescent="0.35">
      <c r="A678" t="s">
        <v>134</v>
      </c>
      <c r="B678" t="s">
        <v>144</v>
      </c>
      <c r="C678" t="s">
        <v>148</v>
      </c>
      <c r="D678">
        <v>2017</v>
      </c>
      <c r="E678">
        <v>88</v>
      </c>
      <c r="F678">
        <v>88</v>
      </c>
      <c r="G678" t="s">
        <v>14</v>
      </c>
      <c r="H678" t="s">
        <v>14</v>
      </c>
      <c r="I678" t="s">
        <v>14</v>
      </c>
      <c r="J678" t="s">
        <v>14</v>
      </c>
    </row>
    <row r="679" spans="1:10" x14ac:dyDescent="0.35">
      <c r="A679" t="s">
        <v>134</v>
      </c>
      <c r="B679" t="s">
        <v>144</v>
      </c>
      <c r="C679" t="s">
        <v>148</v>
      </c>
      <c r="D679">
        <v>2018</v>
      </c>
      <c r="E679">
        <v>88</v>
      </c>
      <c r="F679">
        <v>88</v>
      </c>
      <c r="G679" t="s">
        <v>14</v>
      </c>
      <c r="H679" t="s">
        <v>14</v>
      </c>
      <c r="I679" t="s">
        <v>14</v>
      </c>
      <c r="J679" t="s">
        <v>14</v>
      </c>
    </row>
    <row r="680" spans="1:10" x14ac:dyDescent="0.35">
      <c r="A680" t="s">
        <v>134</v>
      </c>
      <c r="B680" t="s">
        <v>144</v>
      </c>
      <c r="C680" t="s">
        <v>148</v>
      </c>
      <c r="D680">
        <v>2019</v>
      </c>
      <c r="E680">
        <v>88</v>
      </c>
      <c r="F680">
        <v>88</v>
      </c>
      <c r="G680" t="s">
        <v>14</v>
      </c>
      <c r="H680" t="s">
        <v>14</v>
      </c>
      <c r="I680" t="s">
        <v>14</v>
      </c>
      <c r="J680" t="s">
        <v>14</v>
      </c>
    </row>
    <row r="681" spans="1:10" x14ac:dyDescent="0.35">
      <c r="A681" t="s">
        <v>134</v>
      </c>
      <c r="B681" t="s">
        <v>144</v>
      </c>
      <c r="C681" t="s">
        <v>149</v>
      </c>
      <c r="D681">
        <v>2015</v>
      </c>
      <c r="E681">
        <v>100</v>
      </c>
      <c r="F681">
        <v>66</v>
      </c>
      <c r="G681">
        <v>1.1185E-2</v>
      </c>
      <c r="H681">
        <v>0.09</v>
      </c>
      <c r="I681">
        <v>20</v>
      </c>
      <c r="J681" t="s">
        <v>14</v>
      </c>
    </row>
    <row r="682" spans="1:10" x14ac:dyDescent="0.35">
      <c r="A682" t="s">
        <v>134</v>
      </c>
      <c r="B682" t="s">
        <v>144</v>
      </c>
      <c r="C682" t="s">
        <v>149</v>
      </c>
      <c r="D682">
        <v>2016</v>
      </c>
      <c r="E682">
        <v>100</v>
      </c>
      <c r="F682">
        <v>66</v>
      </c>
      <c r="G682">
        <v>1.1436999999999999E-2</v>
      </c>
      <c r="H682">
        <v>0.1</v>
      </c>
      <c r="I682">
        <v>20</v>
      </c>
      <c r="J682" t="s">
        <v>14</v>
      </c>
    </row>
    <row r="683" spans="1:10" x14ac:dyDescent="0.35">
      <c r="A683" t="s">
        <v>134</v>
      </c>
      <c r="B683" t="s">
        <v>144</v>
      </c>
      <c r="C683" t="s">
        <v>149</v>
      </c>
      <c r="D683">
        <v>2017</v>
      </c>
      <c r="E683">
        <v>100</v>
      </c>
      <c r="F683">
        <v>66</v>
      </c>
      <c r="G683">
        <v>1.1682E-2</v>
      </c>
      <c r="H683">
        <v>0.11</v>
      </c>
      <c r="I683">
        <v>20</v>
      </c>
      <c r="J683" t="s">
        <v>14</v>
      </c>
    </row>
    <row r="684" spans="1:10" x14ac:dyDescent="0.35">
      <c r="A684" t="s">
        <v>134</v>
      </c>
      <c r="B684" t="s">
        <v>144</v>
      </c>
      <c r="C684" t="s">
        <v>149</v>
      </c>
      <c r="D684">
        <v>2018</v>
      </c>
      <c r="E684">
        <v>100</v>
      </c>
      <c r="F684" t="s">
        <v>14</v>
      </c>
      <c r="G684">
        <v>1.1924000000000001E-2</v>
      </c>
      <c r="H684">
        <v>0.12</v>
      </c>
      <c r="I684">
        <v>20</v>
      </c>
      <c r="J684" t="s">
        <v>14</v>
      </c>
    </row>
    <row r="685" spans="1:10" x14ac:dyDescent="0.35">
      <c r="A685" t="s">
        <v>134</v>
      </c>
      <c r="B685" t="s">
        <v>144</v>
      </c>
      <c r="C685" t="s">
        <v>149</v>
      </c>
      <c r="D685">
        <v>2019</v>
      </c>
      <c r="E685">
        <v>100</v>
      </c>
      <c r="F685" t="s">
        <v>14</v>
      </c>
      <c r="G685">
        <v>1.2132E-2</v>
      </c>
      <c r="H685">
        <v>0.12</v>
      </c>
      <c r="I685">
        <v>20</v>
      </c>
      <c r="J685" t="s">
        <v>14</v>
      </c>
    </row>
    <row r="686" spans="1:10" x14ac:dyDescent="0.35">
      <c r="A686" t="s">
        <v>134</v>
      </c>
      <c r="B686" t="s">
        <v>144</v>
      </c>
      <c r="C686" t="s">
        <v>149</v>
      </c>
      <c r="D686">
        <v>2020</v>
      </c>
      <c r="E686">
        <v>100</v>
      </c>
      <c r="F686" t="s">
        <v>14</v>
      </c>
      <c r="G686">
        <v>1.2315E-2</v>
      </c>
      <c r="H686">
        <v>0.11</v>
      </c>
      <c r="I686">
        <v>20</v>
      </c>
      <c r="J686" t="s">
        <v>14</v>
      </c>
    </row>
    <row r="687" spans="1:10" x14ac:dyDescent="0.35">
      <c r="A687" t="s">
        <v>134</v>
      </c>
      <c r="B687" t="s">
        <v>144</v>
      </c>
      <c r="C687" t="s">
        <v>150</v>
      </c>
      <c r="D687">
        <v>2015</v>
      </c>
      <c r="E687">
        <v>100</v>
      </c>
      <c r="F687">
        <v>78</v>
      </c>
      <c r="G687">
        <v>5.1513999999999997E-2</v>
      </c>
      <c r="H687">
        <v>0.91</v>
      </c>
      <c r="I687">
        <v>460</v>
      </c>
      <c r="J687" t="s">
        <v>14</v>
      </c>
    </row>
    <row r="688" spans="1:10" x14ac:dyDescent="0.35">
      <c r="A688" t="s">
        <v>134</v>
      </c>
      <c r="B688" t="s">
        <v>144</v>
      </c>
      <c r="C688" t="s">
        <v>150</v>
      </c>
      <c r="D688">
        <v>2016</v>
      </c>
      <c r="E688">
        <v>100</v>
      </c>
      <c r="F688">
        <v>79</v>
      </c>
      <c r="G688">
        <v>5.1132999999999998E-2</v>
      </c>
      <c r="H688">
        <v>1.23</v>
      </c>
      <c r="I688">
        <v>460</v>
      </c>
      <c r="J688" t="s">
        <v>14</v>
      </c>
    </row>
    <row r="689" spans="1:10" x14ac:dyDescent="0.35">
      <c r="A689" t="s">
        <v>134</v>
      </c>
      <c r="B689" t="s">
        <v>144</v>
      </c>
      <c r="C689" t="s">
        <v>150</v>
      </c>
      <c r="D689">
        <v>2017</v>
      </c>
      <c r="E689">
        <v>100</v>
      </c>
      <c r="F689">
        <v>79</v>
      </c>
      <c r="G689">
        <v>5.0729000000000003E-2</v>
      </c>
      <c r="H689">
        <v>1.56</v>
      </c>
      <c r="I689">
        <v>460</v>
      </c>
      <c r="J689" t="s">
        <v>14</v>
      </c>
    </row>
    <row r="690" spans="1:10" x14ac:dyDescent="0.35">
      <c r="A690" t="s">
        <v>134</v>
      </c>
      <c r="B690" t="s">
        <v>144</v>
      </c>
      <c r="C690" t="s">
        <v>150</v>
      </c>
      <c r="D690">
        <v>2018</v>
      </c>
      <c r="E690">
        <v>100</v>
      </c>
      <c r="F690">
        <v>79</v>
      </c>
      <c r="G690">
        <v>5.0304000000000001E-2</v>
      </c>
      <c r="H690">
        <v>1.3</v>
      </c>
      <c r="I690">
        <v>460</v>
      </c>
      <c r="J690" t="s">
        <v>14</v>
      </c>
    </row>
    <row r="691" spans="1:10" x14ac:dyDescent="0.35">
      <c r="A691" t="s">
        <v>134</v>
      </c>
      <c r="B691" t="s">
        <v>144</v>
      </c>
      <c r="C691" t="s">
        <v>150</v>
      </c>
      <c r="D691">
        <v>2019</v>
      </c>
      <c r="E691">
        <v>100</v>
      </c>
      <c r="F691">
        <v>79</v>
      </c>
      <c r="G691">
        <v>4.9858E-2</v>
      </c>
      <c r="H691">
        <v>1.18</v>
      </c>
      <c r="I691">
        <v>460</v>
      </c>
      <c r="J691" t="s">
        <v>14</v>
      </c>
    </row>
    <row r="692" spans="1:10" x14ac:dyDescent="0.35">
      <c r="A692" t="s">
        <v>134</v>
      </c>
      <c r="B692" t="s">
        <v>144</v>
      </c>
      <c r="C692" t="s">
        <v>150</v>
      </c>
      <c r="D692">
        <v>2020</v>
      </c>
      <c r="E692">
        <v>100</v>
      </c>
      <c r="F692">
        <v>79</v>
      </c>
      <c r="G692">
        <v>4.9586999999999999E-2</v>
      </c>
      <c r="H692" t="s">
        <v>14</v>
      </c>
      <c r="I692">
        <v>460</v>
      </c>
      <c r="J692" t="s">
        <v>14</v>
      </c>
    </row>
    <row r="693" spans="1:10" x14ac:dyDescent="0.35">
      <c r="A693" t="s">
        <v>134</v>
      </c>
      <c r="B693" t="s">
        <v>144</v>
      </c>
      <c r="C693" t="s">
        <v>151</v>
      </c>
      <c r="D693">
        <v>2015</v>
      </c>
      <c r="E693">
        <v>100</v>
      </c>
      <c r="F693">
        <v>98.33</v>
      </c>
      <c r="G693">
        <v>1.7794000000000001E-2</v>
      </c>
      <c r="H693">
        <v>0.28000000000000003</v>
      </c>
      <c r="I693">
        <v>460</v>
      </c>
      <c r="J693" t="s">
        <v>14</v>
      </c>
    </row>
    <row r="694" spans="1:10" x14ac:dyDescent="0.35">
      <c r="A694" t="s">
        <v>134</v>
      </c>
      <c r="B694" t="s">
        <v>144</v>
      </c>
      <c r="C694" t="s">
        <v>151</v>
      </c>
      <c r="D694">
        <v>2016</v>
      </c>
      <c r="E694">
        <v>100</v>
      </c>
      <c r="F694">
        <v>99</v>
      </c>
      <c r="G694">
        <v>1.7815999999999999E-2</v>
      </c>
      <c r="H694">
        <v>0.3</v>
      </c>
      <c r="I694">
        <v>460</v>
      </c>
      <c r="J694" t="s">
        <v>14</v>
      </c>
    </row>
    <row r="695" spans="1:10" x14ac:dyDescent="0.35">
      <c r="A695" t="s">
        <v>134</v>
      </c>
      <c r="B695" t="s">
        <v>144</v>
      </c>
      <c r="C695" t="s">
        <v>151</v>
      </c>
      <c r="D695">
        <v>2017</v>
      </c>
      <c r="E695">
        <v>100</v>
      </c>
      <c r="F695">
        <v>99.67</v>
      </c>
      <c r="G695">
        <v>1.7836999999999999E-2</v>
      </c>
      <c r="H695">
        <v>0.28999999999999998</v>
      </c>
      <c r="I695">
        <v>460</v>
      </c>
      <c r="J695" t="s">
        <v>14</v>
      </c>
    </row>
    <row r="696" spans="1:10" x14ac:dyDescent="0.35">
      <c r="A696" t="s">
        <v>134</v>
      </c>
      <c r="B696" t="s">
        <v>144</v>
      </c>
      <c r="C696" t="s">
        <v>151</v>
      </c>
      <c r="D696">
        <v>2018</v>
      </c>
      <c r="E696">
        <v>100</v>
      </c>
      <c r="F696">
        <v>99.67</v>
      </c>
      <c r="G696">
        <v>1.7864000000000001E-2</v>
      </c>
      <c r="H696">
        <v>0.28000000000000003</v>
      </c>
      <c r="I696">
        <v>460</v>
      </c>
      <c r="J696" t="s">
        <v>14</v>
      </c>
    </row>
    <row r="697" spans="1:10" x14ac:dyDescent="0.35">
      <c r="A697" t="s">
        <v>134</v>
      </c>
      <c r="B697" t="s">
        <v>144</v>
      </c>
      <c r="C697" t="s">
        <v>151</v>
      </c>
      <c r="D697">
        <v>2019</v>
      </c>
      <c r="E697">
        <v>100</v>
      </c>
      <c r="F697">
        <v>99.67</v>
      </c>
      <c r="G697">
        <v>1.7916000000000001E-2</v>
      </c>
      <c r="H697">
        <v>0.28000000000000003</v>
      </c>
      <c r="I697">
        <v>460</v>
      </c>
      <c r="J697" t="s">
        <v>14</v>
      </c>
    </row>
    <row r="698" spans="1:10" x14ac:dyDescent="0.35">
      <c r="A698" t="s">
        <v>134</v>
      </c>
      <c r="B698" t="s">
        <v>144</v>
      </c>
      <c r="C698" t="s">
        <v>151</v>
      </c>
      <c r="D698">
        <v>2020</v>
      </c>
      <c r="E698">
        <v>100</v>
      </c>
      <c r="F698">
        <v>99.67</v>
      </c>
      <c r="G698">
        <v>1.7971999999999998E-2</v>
      </c>
      <c r="H698">
        <v>0.25</v>
      </c>
      <c r="I698">
        <v>460</v>
      </c>
      <c r="J698">
        <v>0.77</v>
      </c>
    </row>
    <row r="699" spans="1:10" x14ac:dyDescent="0.35">
      <c r="A699" t="s">
        <v>134</v>
      </c>
      <c r="B699" t="s">
        <v>152</v>
      </c>
      <c r="C699" t="s">
        <v>153</v>
      </c>
      <c r="D699">
        <v>2015</v>
      </c>
      <c r="E699">
        <v>100</v>
      </c>
      <c r="F699">
        <v>57</v>
      </c>
      <c r="G699">
        <v>5.1367999999999997E-2</v>
      </c>
      <c r="H699">
        <v>0.67</v>
      </c>
      <c r="I699">
        <v>200</v>
      </c>
      <c r="J699" t="s">
        <v>14</v>
      </c>
    </row>
    <row r="700" spans="1:10" x14ac:dyDescent="0.35">
      <c r="A700" t="s">
        <v>134</v>
      </c>
      <c r="B700" t="s">
        <v>152</v>
      </c>
      <c r="C700" t="s">
        <v>153</v>
      </c>
      <c r="D700">
        <v>2016</v>
      </c>
      <c r="E700">
        <v>100</v>
      </c>
      <c r="F700">
        <v>56</v>
      </c>
      <c r="G700">
        <v>5.0448E-2</v>
      </c>
      <c r="H700">
        <v>0.67</v>
      </c>
      <c r="I700">
        <v>200</v>
      </c>
      <c r="J700" t="s">
        <v>14</v>
      </c>
    </row>
    <row r="701" spans="1:10" x14ac:dyDescent="0.35">
      <c r="A701" t="s">
        <v>134</v>
      </c>
      <c r="B701" t="s">
        <v>152</v>
      </c>
      <c r="C701" t="s">
        <v>153</v>
      </c>
      <c r="D701">
        <v>2017</v>
      </c>
      <c r="E701">
        <v>100</v>
      </c>
      <c r="F701">
        <v>54</v>
      </c>
      <c r="G701">
        <v>4.9463E-2</v>
      </c>
      <c r="H701">
        <v>0.61</v>
      </c>
      <c r="I701">
        <v>200</v>
      </c>
      <c r="J701" t="s">
        <v>14</v>
      </c>
    </row>
    <row r="702" spans="1:10" x14ac:dyDescent="0.35">
      <c r="A702" t="s">
        <v>134</v>
      </c>
      <c r="B702" t="s">
        <v>152</v>
      </c>
      <c r="C702" t="s">
        <v>153</v>
      </c>
      <c r="D702">
        <v>2018</v>
      </c>
      <c r="E702">
        <v>100</v>
      </c>
      <c r="F702">
        <v>54</v>
      </c>
      <c r="G702">
        <v>4.8424000000000002E-2</v>
      </c>
      <c r="H702">
        <v>0.64</v>
      </c>
      <c r="I702">
        <v>200</v>
      </c>
      <c r="J702" t="s">
        <v>14</v>
      </c>
    </row>
    <row r="703" spans="1:10" x14ac:dyDescent="0.35">
      <c r="A703" t="s">
        <v>134</v>
      </c>
      <c r="B703" t="s">
        <v>152</v>
      </c>
      <c r="C703" t="s">
        <v>153</v>
      </c>
      <c r="D703">
        <v>2019</v>
      </c>
      <c r="E703">
        <v>100</v>
      </c>
      <c r="F703">
        <v>54</v>
      </c>
      <c r="G703">
        <v>4.7321000000000002E-2</v>
      </c>
      <c r="H703">
        <v>0.65</v>
      </c>
      <c r="I703">
        <v>200</v>
      </c>
      <c r="J703" t="s">
        <v>14</v>
      </c>
    </row>
    <row r="704" spans="1:10" x14ac:dyDescent="0.35">
      <c r="A704" t="s">
        <v>134</v>
      </c>
      <c r="B704" t="s">
        <v>152</v>
      </c>
      <c r="C704" t="s">
        <v>153</v>
      </c>
      <c r="D704">
        <v>2020</v>
      </c>
      <c r="E704">
        <v>100</v>
      </c>
      <c r="F704">
        <v>54</v>
      </c>
      <c r="G704">
        <v>4.6189000000000001E-2</v>
      </c>
      <c r="H704">
        <v>0.72</v>
      </c>
      <c r="I704">
        <v>200</v>
      </c>
      <c r="J704" t="s">
        <v>14</v>
      </c>
    </row>
    <row r="705" spans="1:10" x14ac:dyDescent="0.35">
      <c r="A705" t="s">
        <v>134</v>
      </c>
      <c r="B705" t="s">
        <v>152</v>
      </c>
      <c r="C705" t="s">
        <v>154</v>
      </c>
      <c r="D705">
        <v>2015</v>
      </c>
      <c r="E705">
        <v>100</v>
      </c>
      <c r="F705">
        <v>98</v>
      </c>
      <c r="G705" t="s">
        <v>14</v>
      </c>
      <c r="H705" t="s">
        <v>14</v>
      </c>
      <c r="I705" t="s">
        <v>14</v>
      </c>
      <c r="J705" t="s">
        <v>14</v>
      </c>
    </row>
    <row r="706" spans="1:10" x14ac:dyDescent="0.35">
      <c r="A706" t="s">
        <v>134</v>
      </c>
      <c r="B706" t="s">
        <v>152</v>
      </c>
      <c r="C706" t="s">
        <v>154</v>
      </c>
      <c r="D706">
        <v>2016</v>
      </c>
      <c r="E706">
        <v>100</v>
      </c>
      <c r="F706">
        <v>98</v>
      </c>
      <c r="G706" t="s">
        <v>14</v>
      </c>
      <c r="H706" t="s">
        <v>14</v>
      </c>
      <c r="I706" t="s">
        <v>14</v>
      </c>
      <c r="J706" t="s">
        <v>14</v>
      </c>
    </row>
    <row r="707" spans="1:10" x14ac:dyDescent="0.35">
      <c r="A707" t="s">
        <v>134</v>
      </c>
      <c r="B707" t="s">
        <v>152</v>
      </c>
      <c r="C707" t="s">
        <v>154</v>
      </c>
      <c r="D707">
        <v>2017</v>
      </c>
      <c r="E707">
        <v>100</v>
      </c>
      <c r="F707">
        <v>99</v>
      </c>
      <c r="G707" t="s">
        <v>14</v>
      </c>
      <c r="H707" t="s">
        <v>14</v>
      </c>
      <c r="I707" t="s">
        <v>14</v>
      </c>
      <c r="J707" t="s">
        <v>14</v>
      </c>
    </row>
    <row r="708" spans="1:10" x14ac:dyDescent="0.35">
      <c r="A708" t="s">
        <v>134</v>
      </c>
      <c r="B708" t="s">
        <v>152</v>
      </c>
      <c r="C708" t="s">
        <v>154</v>
      </c>
      <c r="D708">
        <v>2018</v>
      </c>
      <c r="E708">
        <v>100</v>
      </c>
      <c r="F708">
        <v>99</v>
      </c>
      <c r="G708" t="s">
        <v>14</v>
      </c>
      <c r="H708" t="s">
        <v>14</v>
      </c>
      <c r="I708" t="s">
        <v>14</v>
      </c>
      <c r="J708" t="s">
        <v>14</v>
      </c>
    </row>
    <row r="709" spans="1:10" x14ac:dyDescent="0.35">
      <c r="A709" t="s">
        <v>134</v>
      </c>
      <c r="B709" t="s">
        <v>152</v>
      </c>
      <c r="C709" t="s">
        <v>154</v>
      </c>
      <c r="D709">
        <v>2019</v>
      </c>
      <c r="E709">
        <v>100</v>
      </c>
      <c r="F709">
        <v>99</v>
      </c>
      <c r="G709" t="s">
        <v>14</v>
      </c>
      <c r="H709" t="s">
        <v>14</v>
      </c>
      <c r="I709" t="s">
        <v>14</v>
      </c>
      <c r="J709" t="s">
        <v>14</v>
      </c>
    </row>
    <row r="710" spans="1:10" x14ac:dyDescent="0.35">
      <c r="A710" t="s">
        <v>134</v>
      </c>
      <c r="B710" t="s">
        <v>152</v>
      </c>
      <c r="C710" t="s">
        <v>154</v>
      </c>
      <c r="D710">
        <v>2020</v>
      </c>
      <c r="E710">
        <v>100</v>
      </c>
      <c r="F710">
        <v>99</v>
      </c>
      <c r="G710" t="s">
        <v>14</v>
      </c>
      <c r="H710" t="s">
        <v>14</v>
      </c>
      <c r="I710" t="s">
        <v>14</v>
      </c>
      <c r="J710" t="s">
        <v>14</v>
      </c>
    </row>
    <row r="711" spans="1:10" x14ac:dyDescent="0.35">
      <c r="A711" t="s">
        <v>134</v>
      </c>
      <c r="B711" t="s">
        <v>152</v>
      </c>
      <c r="C711" t="s">
        <v>155</v>
      </c>
      <c r="D711">
        <v>2015</v>
      </c>
      <c r="E711">
        <v>100</v>
      </c>
      <c r="F711">
        <v>97</v>
      </c>
      <c r="G711">
        <v>0.29178700000000002</v>
      </c>
      <c r="H711">
        <v>5.33</v>
      </c>
      <c r="I711">
        <v>3471</v>
      </c>
      <c r="J711" t="s">
        <v>14</v>
      </c>
    </row>
    <row r="712" spans="1:10" x14ac:dyDescent="0.35">
      <c r="A712" t="s">
        <v>134</v>
      </c>
      <c r="B712" t="s">
        <v>152</v>
      </c>
      <c r="C712" t="s">
        <v>155</v>
      </c>
      <c r="D712">
        <v>2016</v>
      </c>
      <c r="E712">
        <v>100</v>
      </c>
      <c r="F712">
        <v>97</v>
      </c>
      <c r="G712">
        <v>0.293541</v>
      </c>
      <c r="H712">
        <v>5.5</v>
      </c>
      <c r="I712">
        <v>3471</v>
      </c>
      <c r="J712" t="s">
        <v>14</v>
      </c>
    </row>
    <row r="713" spans="1:10" x14ac:dyDescent="0.35">
      <c r="A713" t="s">
        <v>134</v>
      </c>
      <c r="B713" t="s">
        <v>152</v>
      </c>
      <c r="C713" t="s">
        <v>155</v>
      </c>
      <c r="D713">
        <v>2017</v>
      </c>
      <c r="E713">
        <v>100</v>
      </c>
      <c r="F713">
        <v>97</v>
      </c>
      <c r="G713">
        <v>0.29544999999999999</v>
      </c>
      <c r="H713">
        <v>5.83</v>
      </c>
      <c r="I713">
        <v>3471</v>
      </c>
      <c r="J713" t="s">
        <v>14</v>
      </c>
    </row>
    <row r="714" spans="1:10" x14ac:dyDescent="0.35">
      <c r="A714" t="s">
        <v>134</v>
      </c>
      <c r="B714" t="s">
        <v>152</v>
      </c>
      <c r="C714" t="s">
        <v>155</v>
      </c>
      <c r="D714">
        <v>2018</v>
      </c>
      <c r="E714">
        <v>100</v>
      </c>
      <c r="F714">
        <v>97</v>
      </c>
      <c r="G714">
        <v>0.29760599999999998</v>
      </c>
      <c r="H714">
        <v>6.14</v>
      </c>
      <c r="I714">
        <v>3471</v>
      </c>
      <c r="J714" t="s">
        <v>14</v>
      </c>
    </row>
    <row r="715" spans="1:10" x14ac:dyDescent="0.35">
      <c r="A715" t="s">
        <v>134</v>
      </c>
      <c r="B715" t="s">
        <v>152</v>
      </c>
      <c r="C715" t="s">
        <v>155</v>
      </c>
      <c r="D715">
        <v>2019</v>
      </c>
      <c r="E715">
        <v>100</v>
      </c>
      <c r="F715">
        <v>97</v>
      </c>
      <c r="G715">
        <v>0.29971700000000001</v>
      </c>
      <c r="H715">
        <v>6</v>
      </c>
      <c r="I715">
        <v>3471</v>
      </c>
      <c r="J715" t="s">
        <v>14</v>
      </c>
    </row>
    <row r="716" spans="1:10" x14ac:dyDescent="0.35">
      <c r="A716" t="s">
        <v>134</v>
      </c>
      <c r="B716" t="s">
        <v>152</v>
      </c>
      <c r="C716" t="s">
        <v>155</v>
      </c>
      <c r="D716">
        <v>2020</v>
      </c>
      <c r="E716">
        <v>100</v>
      </c>
      <c r="F716">
        <v>97</v>
      </c>
      <c r="G716">
        <v>0.30192000000000002</v>
      </c>
      <c r="H716">
        <v>5.71</v>
      </c>
      <c r="I716">
        <v>3471</v>
      </c>
      <c r="J716" t="s">
        <v>14</v>
      </c>
    </row>
    <row r="717" spans="1:10" x14ac:dyDescent="0.35">
      <c r="A717" t="s">
        <v>134</v>
      </c>
      <c r="B717" t="s">
        <v>152</v>
      </c>
      <c r="C717" t="s">
        <v>156</v>
      </c>
      <c r="D717">
        <v>2015</v>
      </c>
      <c r="E717">
        <v>98</v>
      </c>
      <c r="F717">
        <v>97</v>
      </c>
      <c r="G717" t="s">
        <v>14</v>
      </c>
      <c r="H717" t="s">
        <v>14</v>
      </c>
      <c r="I717" t="s">
        <v>14</v>
      </c>
      <c r="J717" t="s">
        <v>14</v>
      </c>
    </row>
    <row r="718" spans="1:10" x14ac:dyDescent="0.35">
      <c r="A718" t="s">
        <v>134</v>
      </c>
      <c r="B718" t="s">
        <v>152</v>
      </c>
      <c r="C718" t="s">
        <v>156</v>
      </c>
      <c r="D718">
        <v>2016</v>
      </c>
      <c r="E718">
        <v>97</v>
      </c>
      <c r="F718">
        <v>97</v>
      </c>
      <c r="G718" t="s">
        <v>14</v>
      </c>
      <c r="H718" t="s">
        <v>14</v>
      </c>
      <c r="I718" t="s">
        <v>14</v>
      </c>
      <c r="J718" t="s">
        <v>14</v>
      </c>
    </row>
    <row r="719" spans="1:10" x14ac:dyDescent="0.35">
      <c r="A719" t="s">
        <v>134</v>
      </c>
      <c r="B719" t="s">
        <v>152</v>
      </c>
      <c r="C719" t="s">
        <v>156</v>
      </c>
      <c r="D719">
        <v>2017</v>
      </c>
      <c r="E719">
        <v>97</v>
      </c>
      <c r="F719">
        <v>96</v>
      </c>
      <c r="G719" t="s">
        <v>14</v>
      </c>
      <c r="H719" t="s">
        <v>14</v>
      </c>
      <c r="I719" t="s">
        <v>14</v>
      </c>
      <c r="J719" t="s">
        <v>14</v>
      </c>
    </row>
    <row r="720" spans="1:10" x14ac:dyDescent="0.35">
      <c r="A720" t="s">
        <v>134</v>
      </c>
      <c r="B720" t="s">
        <v>152</v>
      </c>
      <c r="C720" t="s">
        <v>156</v>
      </c>
      <c r="D720">
        <v>2018</v>
      </c>
      <c r="E720">
        <v>97</v>
      </c>
      <c r="F720">
        <v>96</v>
      </c>
      <c r="G720" t="s">
        <v>14</v>
      </c>
      <c r="H720" t="s">
        <v>14</v>
      </c>
      <c r="I720" t="s">
        <v>14</v>
      </c>
      <c r="J720" t="s">
        <v>14</v>
      </c>
    </row>
    <row r="721" spans="1:10" x14ac:dyDescent="0.35">
      <c r="A721" t="s">
        <v>134</v>
      </c>
      <c r="B721" t="s">
        <v>152</v>
      </c>
      <c r="C721" t="s">
        <v>156</v>
      </c>
      <c r="D721">
        <v>2019</v>
      </c>
      <c r="E721">
        <v>97</v>
      </c>
      <c r="F721">
        <v>96</v>
      </c>
      <c r="G721" t="s">
        <v>14</v>
      </c>
      <c r="H721" t="s">
        <v>14</v>
      </c>
      <c r="I721" t="s">
        <v>14</v>
      </c>
      <c r="J721" t="s">
        <v>14</v>
      </c>
    </row>
    <row r="722" spans="1:10" x14ac:dyDescent="0.35">
      <c r="A722" t="s">
        <v>134</v>
      </c>
      <c r="B722" t="s">
        <v>152</v>
      </c>
      <c r="C722" t="s">
        <v>156</v>
      </c>
      <c r="D722">
        <v>2020</v>
      </c>
      <c r="E722">
        <v>97</v>
      </c>
      <c r="F722">
        <v>96</v>
      </c>
      <c r="G722" t="s">
        <v>14</v>
      </c>
      <c r="H722" t="s">
        <v>14</v>
      </c>
      <c r="I722" t="s">
        <v>14</v>
      </c>
      <c r="J722" t="s">
        <v>14</v>
      </c>
    </row>
    <row r="723" spans="1:10" x14ac:dyDescent="0.35">
      <c r="A723" t="s">
        <v>134</v>
      </c>
      <c r="B723" t="s">
        <v>152</v>
      </c>
      <c r="C723" t="s">
        <v>157</v>
      </c>
      <c r="D723">
        <v>2015</v>
      </c>
      <c r="E723">
        <v>91</v>
      </c>
      <c r="F723">
        <v>96</v>
      </c>
      <c r="G723">
        <v>0.203571</v>
      </c>
      <c r="H723">
        <v>0.82</v>
      </c>
      <c r="I723">
        <v>2830</v>
      </c>
      <c r="J723" t="s">
        <v>14</v>
      </c>
    </row>
    <row r="724" spans="1:10" x14ac:dyDescent="0.35">
      <c r="A724" t="s">
        <v>134</v>
      </c>
      <c r="B724" t="s">
        <v>152</v>
      </c>
      <c r="C724" t="s">
        <v>157</v>
      </c>
      <c r="D724">
        <v>2016</v>
      </c>
      <c r="E724">
        <v>92</v>
      </c>
      <c r="F724">
        <v>96</v>
      </c>
      <c r="G724">
        <v>0.205544</v>
      </c>
      <c r="H724">
        <v>0.84</v>
      </c>
      <c r="I724">
        <v>2830</v>
      </c>
      <c r="J724" t="s">
        <v>14</v>
      </c>
    </row>
    <row r="725" spans="1:10" x14ac:dyDescent="0.35">
      <c r="A725" t="s">
        <v>134</v>
      </c>
      <c r="B725" t="s">
        <v>152</v>
      </c>
      <c r="C725" t="s">
        <v>157</v>
      </c>
      <c r="D725">
        <v>2017</v>
      </c>
      <c r="E725">
        <v>92</v>
      </c>
      <c r="F725">
        <v>96.33</v>
      </c>
      <c r="G725">
        <v>0.20763000000000001</v>
      </c>
      <c r="H725">
        <v>0.88</v>
      </c>
      <c r="I725">
        <v>2780</v>
      </c>
      <c r="J725">
        <v>9.4</v>
      </c>
    </row>
    <row r="726" spans="1:10" x14ac:dyDescent="0.35">
      <c r="A726" t="s">
        <v>134</v>
      </c>
      <c r="B726" t="s">
        <v>152</v>
      </c>
      <c r="C726" t="s">
        <v>157</v>
      </c>
      <c r="D726">
        <v>2018</v>
      </c>
      <c r="E726">
        <v>92</v>
      </c>
      <c r="F726">
        <v>96.33</v>
      </c>
      <c r="G726">
        <v>0.209701</v>
      </c>
      <c r="H726">
        <v>0.88</v>
      </c>
      <c r="I726">
        <v>2780</v>
      </c>
      <c r="J726" t="s">
        <v>14</v>
      </c>
    </row>
    <row r="727" spans="1:10" x14ac:dyDescent="0.35">
      <c r="A727" t="s">
        <v>134</v>
      </c>
      <c r="B727" t="s">
        <v>152</v>
      </c>
      <c r="C727" t="s">
        <v>157</v>
      </c>
      <c r="D727">
        <v>2019</v>
      </c>
      <c r="E727">
        <v>92</v>
      </c>
      <c r="F727">
        <v>96.33</v>
      </c>
      <c r="G727">
        <v>0.21190500000000001</v>
      </c>
      <c r="H727">
        <v>0.91</v>
      </c>
      <c r="I727">
        <v>2780</v>
      </c>
      <c r="J727" t="s">
        <v>14</v>
      </c>
    </row>
    <row r="728" spans="1:10" x14ac:dyDescent="0.35">
      <c r="A728" t="s">
        <v>134</v>
      </c>
      <c r="B728" t="s">
        <v>152</v>
      </c>
      <c r="C728" t="s">
        <v>157</v>
      </c>
      <c r="D728">
        <v>2020</v>
      </c>
      <c r="E728">
        <v>92</v>
      </c>
      <c r="F728">
        <v>96.33</v>
      </c>
      <c r="G728">
        <v>0.21492900000000001</v>
      </c>
      <c r="H728">
        <v>0.87</v>
      </c>
      <c r="I728">
        <v>2780</v>
      </c>
      <c r="J728" t="s">
        <v>14</v>
      </c>
    </row>
    <row r="729" spans="1:10" x14ac:dyDescent="0.35">
      <c r="A729" t="s">
        <v>134</v>
      </c>
      <c r="B729" t="s">
        <v>152</v>
      </c>
      <c r="C729" t="s">
        <v>158</v>
      </c>
      <c r="D729">
        <v>2015</v>
      </c>
      <c r="E729">
        <v>99</v>
      </c>
      <c r="F729">
        <v>94</v>
      </c>
      <c r="G729" t="s">
        <v>14</v>
      </c>
      <c r="H729" t="s">
        <v>14</v>
      </c>
      <c r="I729" t="s">
        <v>14</v>
      </c>
      <c r="J729" t="s">
        <v>14</v>
      </c>
    </row>
    <row r="730" spans="1:10" x14ac:dyDescent="0.35">
      <c r="A730" t="s">
        <v>134</v>
      </c>
      <c r="B730" t="s">
        <v>152</v>
      </c>
      <c r="C730" t="s">
        <v>158</v>
      </c>
      <c r="D730">
        <v>2016</v>
      </c>
      <c r="E730">
        <v>100</v>
      </c>
      <c r="F730">
        <v>96</v>
      </c>
      <c r="G730" t="s">
        <v>14</v>
      </c>
      <c r="H730" t="s">
        <v>14</v>
      </c>
      <c r="I730" t="s">
        <v>14</v>
      </c>
      <c r="J730" t="s">
        <v>14</v>
      </c>
    </row>
    <row r="731" spans="1:10" x14ac:dyDescent="0.35">
      <c r="A731" t="s">
        <v>134</v>
      </c>
      <c r="B731" t="s">
        <v>152</v>
      </c>
      <c r="C731" t="s">
        <v>158</v>
      </c>
      <c r="D731">
        <v>2017</v>
      </c>
      <c r="E731">
        <v>100</v>
      </c>
      <c r="F731">
        <v>97</v>
      </c>
      <c r="G731" t="s">
        <v>14</v>
      </c>
      <c r="H731" t="s">
        <v>14</v>
      </c>
      <c r="I731" t="s">
        <v>14</v>
      </c>
      <c r="J731" t="s">
        <v>14</v>
      </c>
    </row>
    <row r="732" spans="1:10" x14ac:dyDescent="0.35">
      <c r="A732" t="s">
        <v>134</v>
      </c>
      <c r="B732" t="s">
        <v>152</v>
      </c>
      <c r="C732" t="s">
        <v>158</v>
      </c>
      <c r="D732">
        <v>2018</v>
      </c>
      <c r="E732">
        <v>100</v>
      </c>
      <c r="F732">
        <v>97</v>
      </c>
      <c r="G732" t="s">
        <v>14</v>
      </c>
      <c r="H732" t="s">
        <v>14</v>
      </c>
      <c r="I732" t="s">
        <v>14</v>
      </c>
      <c r="J732" t="s">
        <v>14</v>
      </c>
    </row>
    <row r="733" spans="1:10" x14ac:dyDescent="0.35">
      <c r="A733" t="s">
        <v>134</v>
      </c>
      <c r="B733" t="s">
        <v>152</v>
      </c>
      <c r="C733" t="s">
        <v>158</v>
      </c>
      <c r="D733">
        <v>2019</v>
      </c>
      <c r="E733">
        <v>100</v>
      </c>
      <c r="F733">
        <v>97</v>
      </c>
      <c r="G733" t="s">
        <v>14</v>
      </c>
      <c r="H733" t="s">
        <v>14</v>
      </c>
      <c r="I733" t="s">
        <v>14</v>
      </c>
      <c r="J733" t="s">
        <v>14</v>
      </c>
    </row>
    <row r="734" spans="1:10" x14ac:dyDescent="0.35">
      <c r="A734" t="s">
        <v>134</v>
      </c>
      <c r="B734" t="s">
        <v>152</v>
      </c>
      <c r="C734" t="s">
        <v>158</v>
      </c>
      <c r="D734">
        <v>2020</v>
      </c>
      <c r="E734">
        <v>100</v>
      </c>
      <c r="F734">
        <v>97</v>
      </c>
      <c r="G734" t="s">
        <v>14</v>
      </c>
      <c r="H734" t="s">
        <v>14</v>
      </c>
      <c r="I734" t="s">
        <v>14</v>
      </c>
      <c r="J734" t="s">
        <v>14</v>
      </c>
    </row>
    <row r="735" spans="1:10" x14ac:dyDescent="0.35">
      <c r="A735" t="s">
        <v>134</v>
      </c>
      <c r="B735" t="s">
        <v>152</v>
      </c>
      <c r="C735" t="s">
        <v>159</v>
      </c>
      <c r="D735">
        <v>2015</v>
      </c>
      <c r="E735">
        <v>98.67</v>
      </c>
      <c r="F735">
        <v>94</v>
      </c>
      <c r="G735">
        <v>0.10612199999999999</v>
      </c>
      <c r="H735">
        <v>0.44</v>
      </c>
      <c r="I735">
        <v>720</v>
      </c>
      <c r="J735" t="s">
        <v>14</v>
      </c>
    </row>
    <row r="736" spans="1:10" x14ac:dyDescent="0.35">
      <c r="A736" t="s">
        <v>134</v>
      </c>
      <c r="B736" t="s">
        <v>152</v>
      </c>
      <c r="C736" t="s">
        <v>159</v>
      </c>
      <c r="D736">
        <v>2016</v>
      </c>
      <c r="E736">
        <v>98.67</v>
      </c>
      <c r="F736">
        <v>94</v>
      </c>
      <c r="G736">
        <v>0.105707</v>
      </c>
      <c r="H736">
        <v>0.42</v>
      </c>
      <c r="I736">
        <v>720</v>
      </c>
      <c r="J736" t="s">
        <v>14</v>
      </c>
    </row>
    <row r="737" spans="1:10" x14ac:dyDescent="0.35">
      <c r="A737" t="s">
        <v>134</v>
      </c>
      <c r="B737" t="s">
        <v>152</v>
      </c>
      <c r="C737" t="s">
        <v>159</v>
      </c>
      <c r="D737">
        <v>2017</v>
      </c>
      <c r="E737">
        <v>98.67</v>
      </c>
      <c r="F737">
        <v>93.67</v>
      </c>
      <c r="G737">
        <v>0.10541499999999999</v>
      </c>
      <c r="H737">
        <v>0.46</v>
      </c>
      <c r="I737">
        <v>720</v>
      </c>
      <c r="J737" t="s">
        <v>14</v>
      </c>
    </row>
    <row r="738" spans="1:10" x14ac:dyDescent="0.35">
      <c r="A738" t="s">
        <v>134</v>
      </c>
      <c r="B738" t="s">
        <v>152</v>
      </c>
      <c r="C738" t="s">
        <v>159</v>
      </c>
      <c r="D738">
        <v>2018</v>
      </c>
      <c r="E738">
        <v>98.67</v>
      </c>
      <c r="F738">
        <v>93.67</v>
      </c>
      <c r="G738">
        <v>0.10514999999999999</v>
      </c>
      <c r="H738">
        <v>0.49</v>
      </c>
      <c r="I738">
        <v>720</v>
      </c>
      <c r="J738">
        <v>2.25</v>
      </c>
    </row>
    <row r="739" spans="1:10" x14ac:dyDescent="0.35">
      <c r="A739" t="s">
        <v>134</v>
      </c>
      <c r="B739" t="s">
        <v>152</v>
      </c>
      <c r="C739" t="s">
        <v>159</v>
      </c>
      <c r="D739">
        <v>2019</v>
      </c>
      <c r="E739">
        <v>98.67</v>
      </c>
      <c r="F739">
        <v>93.67</v>
      </c>
      <c r="G739">
        <v>0.104951</v>
      </c>
      <c r="H739">
        <v>0.51</v>
      </c>
      <c r="I739">
        <v>720</v>
      </c>
      <c r="J739" t="s">
        <v>14</v>
      </c>
    </row>
    <row r="740" spans="1:10" x14ac:dyDescent="0.35">
      <c r="A740" t="s">
        <v>134</v>
      </c>
      <c r="B740" t="s">
        <v>152</v>
      </c>
      <c r="C740" t="s">
        <v>159</v>
      </c>
      <c r="D740">
        <v>2020</v>
      </c>
      <c r="E740">
        <v>99</v>
      </c>
      <c r="F740">
        <v>93.33</v>
      </c>
      <c r="G740">
        <v>0.105254</v>
      </c>
      <c r="H740">
        <v>0.48</v>
      </c>
      <c r="I740">
        <v>720</v>
      </c>
      <c r="J740" t="s">
        <v>14</v>
      </c>
    </row>
    <row r="741" spans="1:10" x14ac:dyDescent="0.35">
      <c r="A741" t="s">
        <v>134</v>
      </c>
      <c r="B741" t="s">
        <v>152</v>
      </c>
      <c r="C741" t="s">
        <v>160</v>
      </c>
      <c r="D741">
        <v>2015</v>
      </c>
      <c r="E741">
        <v>100</v>
      </c>
      <c r="F741">
        <v>83.67</v>
      </c>
      <c r="G741">
        <v>1.0877E-2</v>
      </c>
      <c r="H741">
        <v>0.04</v>
      </c>
      <c r="I741">
        <v>30</v>
      </c>
      <c r="J741" t="s">
        <v>14</v>
      </c>
    </row>
    <row r="742" spans="1:10" x14ac:dyDescent="0.35">
      <c r="A742" t="s">
        <v>134</v>
      </c>
      <c r="B742" t="s">
        <v>152</v>
      </c>
      <c r="C742" t="s">
        <v>160</v>
      </c>
      <c r="D742">
        <v>2016</v>
      </c>
      <c r="E742">
        <v>100</v>
      </c>
      <c r="F742">
        <v>83.67</v>
      </c>
      <c r="G742">
        <v>1.0852000000000001E-2</v>
      </c>
      <c r="H742">
        <v>0.04</v>
      </c>
      <c r="I742">
        <v>30</v>
      </c>
      <c r="J742">
        <v>8.49</v>
      </c>
    </row>
    <row r="743" spans="1:10" x14ac:dyDescent="0.35">
      <c r="A743" t="s">
        <v>134</v>
      </c>
      <c r="B743" t="s">
        <v>152</v>
      </c>
      <c r="C743" t="s">
        <v>160</v>
      </c>
      <c r="D743">
        <v>2017</v>
      </c>
      <c r="E743">
        <v>100</v>
      </c>
      <c r="F743">
        <v>83.67</v>
      </c>
      <c r="G743">
        <v>1.0828000000000001E-2</v>
      </c>
      <c r="H743">
        <v>0.05</v>
      </c>
      <c r="I743">
        <v>30</v>
      </c>
      <c r="J743">
        <v>26.55</v>
      </c>
    </row>
    <row r="744" spans="1:10" x14ac:dyDescent="0.35">
      <c r="A744" t="s">
        <v>134</v>
      </c>
      <c r="B744" t="s">
        <v>152</v>
      </c>
      <c r="C744" t="s">
        <v>160</v>
      </c>
      <c r="D744">
        <v>2018</v>
      </c>
      <c r="E744">
        <v>100</v>
      </c>
      <c r="F744">
        <v>83.67</v>
      </c>
      <c r="G744">
        <v>1.0865E-2</v>
      </c>
      <c r="H744">
        <v>0.05</v>
      </c>
      <c r="I744">
        <v>30</v>
      </c>
      <c r="J744" t="s">
        <v>14</v>
      </c>
    </row>
    <row r="745" spans="1:10" x14ac:dyDescent="0.35">
      <c r="A745" t="s">
        <v>134</v>
      </c>
      <c r="B745" t="s">
        <v>152</v>
      </c>
      <c r="C745" t="s">
        <v>160</v>
      </c>
      <c r="D745">
        <v>2019</v>
      </c>
      <c r="E745">
        <v>100</v>
      </c>
      <c r="F745" t="s">
        <v>14</v>
      </c>
      <c r="G745">
        <v>1.0956E-2</v>
      </c>
      <c r="H745">
        <v>0.05</v>
      </c>
      <c r="I745">
        <v>30</v>
      </c>
      <c r="J745" t="s">
        <v>14</v>
      </c>
    </row>
    <row r="746" spans="1:10" x14ac:dyDescent="0.35">
      <c r="A746" t="s">
        <v>134</v>
      </c>
      <c r="B746" t="s">
        <v>152</v>
      </c>
      <c r="C746" t="s">
        <v>160</v>
      </c>
      <c r="D746">
        <v>2020</v>
      </c>
      <c r="E746">
        <v>100</v>
      </c>
      <c r="F746" t="s">
        <v>14</v>
      </c>
      <c r="G746">
        <v>1.1069000000000001E-2</v>
      </c>
      <c r="H746">
        <v>0.06</v>
      </c>
      <c r="I746">
        <v>30</v>
      </c>
      <c r="J746" t="s">
        <v>14</v>
      </c>
    </row>
    <row r="747" spans="1:10" x14ac:dyDescent="0.35">
      <c r="A747" t="s">
        <v>134</v>
      </c>
      <c r="B747" t="s">
        <v>152</v>
      </c>
      <c r="C747" t="s">
        <v>161</v>
      </c>
      <c r="D747">
        <v>2015</v>
      </c>
      <c r="E747">
        <v>99</v>
      </c>
      <c r="F747">
        <v>95</v>
      </c>
      <c r="G747" t="s">
        <v>14</v>
      </c>
      <c r="H747" t="s">
        <v>14</v>
      </c>
      <c r="I747" t="s">
        <v>14</v>
      </c>
      <c r="J747" t="s">
        <v>14</v>
      </c>
    </row>
    <row r="748" spans="1:10" x14ac:dyDescent="0.35">
      <c r="A748" t="s">
        <v>134</v>
      </c>
      <c r="B748" t="s">
        <v>152</v>
      </c>
      <c r="C748" t="s">
        <v>161</v>
      </c>
      <c r="D748">
        <v>2016</v>
      </c>
      <c r="E748">
        <v>99</v>
      </c>
      <c r="F748">
        <v>94</v>
      </c>
      <c r="G748" t="s">
        <v>14</v>
      </c>
      <c r="H748" t="s">
        <v>14</v>
      </c>
      <c r="I748" t="s">
        <v>14</v>
      </c>
      <c r="J748" t="s">
        <v>14</v>
      </c>
    </row>
    <row r="749" spans="1:10" x14ac:dyDescent="0.35">
      <c r="A749" t="s">
        <v>134</v>
      </c>
      <c r="B749" t="s">
        <v>152</v>
      </c>
      <c r="C749" t="s">
        <v>161</v>
      </c>
      <c r="D749">
        <v>2017</v>
      </c>
      <c r="E749">
        <v>99</v>
      </c>
      <c r="F749">
        <v>94</v>
      </c>
      <c r="G749" t="s">
        <v>14</v>
      </c>
      <c r="H749" t="s">
        <v>14</v>
      </c>
      <c r="I749" t="s">
        <v>14</v>
      </c>
      <c r="J749" t="s">
        <v>14</v>
      </c>
    </row>
    <row r="750" spans="1:10" x14ac:dyDescent="0.35">
      <c r="A750" t="s">
        <v>134</v>
      </c>
      <c r="B750" t="s">
        <v>152</v>
      </c>
      <c r="C750" t="s">
        <v>161</v>
      </c>
      <c r="D750">
        <v>2018</v>
      </c>
      <c r="E750">
        <v>99</v>
      </c>
      <c r="F750">
        <v>94</v>
      </c>
      <c r="G750" t="s">
        <v>14</v>
      </c>
      <c r="H750" t="s">
        <v>14</v>
      </c>
      <c r="I750" t="s">
        <v>14</v>
      </c>
      <c r="J750" t="s">
        <v>14</v>
      </c>
    </row>
    <row r="751" spans="1:10" x14ac:dyDescent="0.35">
      <c r="A751" t="s">
        <v>134</v>
      </c>
      <c r="B751" t="s">
        <v>152</v>
      </c>
      <c r="C751" t="s">
        <v>161</v>
      </c>
      <c r="D751">
        <v>2019</v>
      </c>
      <c r="E751">
        <v>99</v>
      </c>
      <c r="F751">
        <v>93</v>
      </c>
      <c r="G751" t="s">
        <v>14</v>
      </c>
      <c r="H751" t="s">
        <v>14</v>
      </c>
      <c r="I751" t="s">
        <v>14</v>
      </c>
      <c r="J751" t="s">
        <v>14</v>
      </c>
    </row>
    <row r="752" spans="1:10" x14ac:dyDescent="0.35">
      <c r="A752" t="s">
        <v>134</v>
      </c>
      <c r="B752" t="s">
        <v>152</v>
      </c>
      <c r="C752" t="s">
        <v>161</v>
      </c>
      <c r="D752">
        <v>2020</v>
      </c>
      <c r="E752">
        <v>99</v>
      </c>
      <c r="F752">
        <v>93</v>
      </c>
      <c r="G752" t="s">
        <v>14</v>
      </c>
      <c r="H752" t="s">
        <v>14</v>
      </c>
      <c r="I752" t="s">
        <v>14</v>
      </c>
      <c r="J752" t="s">
        <v>14</v>
      </c>
    </row>
    <row r="753" spans="1:10" x14ac:dyDescent="0.35">
      <c r="A753" t="s">
        <v>162</v>
      </c>
      <c r="B753" t="s">
        <v>163</v>
      </c>
      <c r="C753" t="s">
        <v>164</v>
      </c>
      <c r="D753">
        <v>2015</v>
      </c>
      <c r="E753">
        <v>68.33</v>
      </c>
      <c r="F753">
        <v>44.67</v>
      </c>
      <c r="G753">
        <v>10.727148</v>
      </c>
      <c r="H753">
        <v>3.1</v>
      </c>
      <c r="I753">
        <v>25680</v>
      </c>
      <c r="J753" t="s">
        <v>14</v>
      </c>
    </row>
    <row r="754" spans="1:10" x14ac:dyDescent="0.35">
      <c r="A754" t="s">
        <v>162</v>
      </c>
      <c r="B754" t="s">
        <v>163</v>
      </c>
      <c r="C754" t="s">
        <v>164</v>
      </c>
      <c r="D754">
        <v>2016</v>
      </c>
      <c r="E754">
        <v>68.33</v>
      </c>
      <c r="F754">
        <v>44.67</v>
      </c>
      <c r="G754">
        <v>10.903327000000001</v>
      </c>
      <c r="H754">
        <v>2.64</v>
      </c>
      <c r="I754">
        <v>25680</v>
      </c>
      <c r="J754" t="s">
        <v>14</v>
      </c>
    </row>
    <row r="755" spans="1:10" x14ac:dyDescent="0.35">
      <c r="A755" t="s">
        <v>162</v>
      </c>
      <c r="B755" t="s">
        <v>163</v>
      </c>
      <c r="C755" t="s">
        <v>164</v>
      </c>
      <c r="D755">
        <v>2017</v>
      </c>
      <c r="E755">
        <v>69.33</v>
      </c>
      <c r="F755">
        <v>44.67</v>
      </c>
      <c r="G755">
        <v>11.155593</v>
      </c>
      <c r="H755">
        <v>2.71</v>
      </c>
      <c r="I755">
        <v>25680</v>
      </c>
      <c r="J755" t="s">
        <v>14</v>
      </c>
    </row>
    <row r="756" spans="1:10" x14ac:dyDescent="0.35">
      <c r="A756" t="s">
        <v>162</v>
      </c>
      <c r="B756" t="s">
        <v>163</v>
      </c>
      <c r="C756" t="s">
        <v>164</v>
      </c>
      <c r="D756">
        <v>2018</v>
      </c>
      <c r="E756">
        <v>69.33</v>
      </c>
      <c r="F756">
        <v>44.33</v>
      </c>
      <c r="G756">
        <v>11.493472000000001</v>
      </c>
      <c r="H756">
        <v>2.66</v>
      </c>
      <c r="I756">
        <v>25680</v>
      </c>
      <c r="J756" t="s">
        <v>14</v>
      </c>
    </row>
    <row r="757" spans="1:10" x14ac:dyDescent="0.35">
      <c r="A757" t="s">
        <v>162</v>
      </c>
      <c r="B757" t="s">
        <v>163</v>
      </c>
      <c r="C757" t="s">
        <v>164</v>
      </c>
      <c r="D757">
        <v>2019</v>
      </c>
      <c r="E757">
        <v>70.33</v>
      </c>
      <c r="F757">
        <v>44.33</v>
      </c>
      <c r="G757">
        <v>11.874838</v>
      </c>
      <c r="H757">
        <v>2.58</v>
      </c>
      <c r="I757">
        <v>25680</v>
      </c>
      <c r="J757" t="s">
        <v>14</v>
      </c>
    </row>
    <row r="758" spans="1:10" x14ac:dyDescent="0.35">
      <c r="A758" t="s">
        <v>162</v>
      </c>
      <c r="B758" t="s">
        <v>163</v>
      </c>
      <c r="C758" t="s">
        <v>164</v>
      </c>
      <c r="D758">
        <v>2020</v>
      </c>
      <c r="E758">
        <v>70.33</v>
      </c>
      <c r="F758">
        <v>44.33</v>
      </c>
      <c r="G758">
        <v>12.220227</v>
      </c>
      <c r="H758">
        <v>2.65</v>
      </c>
      <c r="I758">
        <v>25680</v>
      </c>
      <c r="J758">
        <v>1.03</v>
      </c>
    </row>
    <row r="759" spans="1:10" x14ac:dyDescent="0.35">
      <c r="A759" t="s">
        <v>162</v>
      </c>
      <c r="B759" t="s">
        <v>163</v>
      </c>
      <c r="C759" t="s">
        <v>165</v>
      </c>
      <c r="D759">
        <v>2015</v>
      </c>
      <c r="E759">
        <v>81.67</v>
      </c>
      <c r="F759">
        <v>37.67</v>
      </c>
      <c r="G759">
        <v>0.73021599999999998</v>
      </c>
      <c r="H759">
        <v>0.97</v>
      </c>
      <c r="I759">
        <v>1861</v>
      </c>
      <c r="J759" t="s">
        <v>14</v>
      </c>
    </row>
    <row r="760" spans="1:10" x14ac:dyDescent="0.35">
      <c r="A760" t="s">
        <v>162</v>
      </c>
      <c r="B760" t="s">
        <v>163</v>
      </c>
      <c r="C760" t="s">
        <v>165</v>
      </c>
      <c r="D760">
        <v>2016</v>
      </c>
      <c r="E760">
        <v>81.67</v>
      </c>
      <c r="F760">
        <v>37.67</v>
      </c>
      <c r="G760">
        <v>0.74623200000000001</v>
      </c>
      <c r="H760">
        <v>1.01</v>
      </c>
      <c r="I760">
        <v>1861</v>
      </c>
      <c r="J760" t="s">
        <v>14</v>
      </c>
    </row>
    <row r="761" spans="1:10" x14ac:dyDescent="0.35">
      <c r="A761" t="s">
        <v>162</v>
      </c>
      <c r="B761" t="s">
        <v>163</v>
      </c>
      <c r="C761" t="s">
        <v>165</v>
      </c>
      <c r="D761">
        <v>2017</v>
      </c>
      <c r="E761">
        <v>81.67</v>
      </c>
      <c r="F761">
        <v>37.67</v>
      </c>
      <c r="G761">
        <v>0.76166400000000001</v>
      </c>
      <c r="H761">
        <v>1.08</v>
      </c>
      <c r="I761">
        <v>1861</v>
      </c>
      <c r="J761" t="s">
        <v>14</v>
      </c>
    </row>
    <row r="762" spans="1:10" x14ac:dyDescent="0.35">
      <c r="A762" t="s">
        <v>162</v>
      </c>
      <c r="B762" t="s">
        <v>163</v>
      </c>
      <c r="C762" t="s">
        <v>165</v>
      </c>
      <c r="D762">
        <v>2018</v>
      </c>
      <c r="E762">
        <v>81.67</v>
      </c>
      <c r="F762">
        <v>37.67</v>
      </c>
      <c r="G762">
        <v>0.77631300000000003</v>
      </c>
      <c r="H762">
        <v>1.19</v>
      </c>
      <c r="I762">
        <v>1861</v>
      </c>
      <c r="J762" t="s">
        <v>14</v>
      </c>
    </row>
    <row r="763" spans="1:10" x14ac:dyDescent="0.35">
      <c r="A763" t="s">
        <v>162</v>
      </c>
      <c r="B763" t="s">
        <v>163</v>
      </c>
      <c r="C763" t="s">
        <v>165</v>
      </c>
      <c r="D763">
        <v>2019</v>
      </c>
      <c r="E763">
        <v>81.67</v>
      </c>
      <c r="F763">
        <v>37.67</v>
      </c>
      <c r="G763">
        <v>0.79098599999999997</v>
      </c>
      <c r="H763">
        <v>1.2</v>
      </c>
      <c r="I763">
        <v>1861</v>
      </c>
      <c r="J763" t="s">
        <v>14</v>
      </c>
    </row>
    <row r="764" spans="1:10" x14ac:dyDescent="0.35">
      <c r="A764" t="s">
        <v>162</v>
      </c>
      <c r="B764" t="s">
        <v>163</v>
      </c>
      <c r="C764" t="s">
        <v>166</v>
      </c>
      <c r="D764">
        <v>2015</v>
      </c>
      <c r="E764">
        <v>69.67</v>
      </c>
      <c r="F764">
        <v>51.33</v>
      </c>
      <c r="G764">
        <v>1.006259</v>
      </c>
      <c r="H764">
        <v>2.42</v>
      </c>
      <c r="I764">
        <v>23180</v>
      </c>
      <c r="J764" t="s">
        <v>14</v>
      </c>
    </row>
    <row r="765" spans="1:10" x14ac:dyDescent="0.35">
      <c r="A765" t="s">
        <v>162</v>
      </c>
      <c r="B765" t="s">
        <v>163</v>
      </c>
      <c r="C765" t="s">
        <v>166</v>
      </c>
      <c r="D765">
        <v>2016</v>
      </c>
      <c r="E765">
        <v>69.33</v>
      </c>
      <c r="F765">
        <v>52.67</v>
      </c>
      <c r="G765">
        <v>1.023261</v>
      </c>
      <c r="H765">
        <v>2.6</v>
      </c>
      <c r="I765">
        <v>23180</v>
      </c>
      <c r="J765" t="s">
        <v>14</v>
      </c>
    </row>
    <row r="766" spans="1:10" x14ac:dyDescent="0.35">
      <c r="A766" t="s">
        <v>162</v>
      </c>
      <c r="B766" t="s">
        <v>163</v>
      </c>
      <c r="C766" t="s">
        <v>166</v>
      </c>
      <c r="D766">
        <v>2017</v>
      </c>
      <c r="E766">
        <v>69.33</v>
      </c>
      <c r="F766">
        <v>53.67</v>
      </c>
      <c r="G766">
        <v>1.040233</v>
      </c>
      <c r="H766">
        <v>2.76</v>
      </c>
      <c r="I766">
        <v>23180</v>
      </c>
      <c r="J766">
        <v>26.06</v>
      </c>
    </row>
    <row r="767" spans="1:10" x14ac:dyDescent="0.35">
      <c r="A767" t="s">
        <v>162</v>
      </c>
      <c r="B767" t="s">
        <v>163</v>
      </c>
      <c r="C767" t="s">
        <v>166</v>
      </c>
      <c r="D767">
        <v>2018</v>
      </c>
      <c r="E767">
        <v>69.33</v>
      </c>
      <c r="F767">
        <v>54.67</v>
      </c>
      <c r="G767">
        <v>1.0571980000000001</v>
      </c>
      <c r="H767">
        <v>2.91</v>
      </c>
      <c r="I767">
        <v>23180</v>
      </c>
      <c r="J767" t="s">
        <v>14</v>
      </c>
    </row>
    <row r="768" spans="1:10" x14ac:dyDescent="0.35">
      <c r="A768" t="s">
        <v>162</v>
      </c>
      <c r="B768" t="s">
        <v>163</v>
      </c>
      <c r="C768" t="s">
        <v>166</v>
      </c>
      <c r="D768">
        <v>2019</v>
      </c>
      <c r="E768">
        <v>69</v>
      </c>
      <c r="F768">
        <v>56</v>
      </c>
      <c r="G768">
        <v>1.0739939999999999</v>
      </c>
      <c r="H768">
        <v>3.09</v>
      </c>
      <c r="I768">
        <v>23180</v>
      </c>
      <c r="J768" t="s">
        <v>14</v>
      </c>
    </row>
    <row r="769" spans="1:10" x14ac:dyDescent="0.35">
      <c r="A769" t="s">
        <v>162</v>
      </c>
      <c r="B769" t="s">
        <v>163</v>
      </c>
      <c r="C769" t="s">
        <v>166</v>
      </c>
      <c r="D769">
        <v>2020</v>
      </c>
      <c r="E769">
        <v>69</v>
      </c>
      <c r="F769">
        <v>56</v>
      </c>
      <c r="G769">
        <v>1.0901559999999999</v>
      </c>
      <c r="H769">
        <v>3.18</v>
      </c>
      <c r="I769">
        <v>23180</v>
      </c>
      <c r="J769" t="s">
        <v>14</v>
      </c>
    </row>
    <row r="770" spans="1:10" x14ac:dyDescent="0.35">
      <c r="A770" t="s">
        <v>162</v>
      </c>
      <c r="B770" t="s">
        <v>163</v>
      </c>
      <c r="C770" t="s">
        <v>167</v>
      </c>
      <c r="D770">
        <v>2015</v>
      </c>
      <c r="E770">
        <v>56.33</v>
      </c>
      <c r="F770">
        <v>13.33</v>
      </c>
      <c r="G770">
        <v>3.3400059999999998</v>
      </c>
      <c r="H770" t="s">
        <v>14</v>
      </c>
      <c r="I770">
        <v>121088.77</v>
      </c>
      <c r="J770" t="s">
        <v>14</v>
      </c>
    </row>
    <row r="771" spans="1:10" x14ac:dyDescent="0.35">
      <c r="A771" t="s">
        <v>162</v>
      </c>
      <c r="B771" t="s">
        <v>163</v>
      </c>
      <c r="C771" t="s">
        <v>167</v>
      </c>
      <c r="D771">
        <v>2016</v>
      </c>
      <c r="E771">
        <v>56.67</v>
      </c>
      <c r="F771">
        <v>13.33</v>
      </c>
      <c r="G771">
        <v>3.3652869999999999</v>
      </c>
      <c r="H771" t="s">
        <v>14</v>
      </c>
      <c r="I771">
        <v>121077.46</v>
      </c>
      <c r="J771" t="s">
        <v>14</v>
      </c>
    </row>
    <row r="772" spans="1:10" x14ac:dyDescent="0.35">
      <c r="A772" t="s">
        <v>162</v>
      </c>
      <c r="B772" t="s">
        <v>163</v>
      </c>
      <c r="C772" t="s">
        <v>168</v>
      </c>
      <c r="D772">
        <v>2015</v>
      </c>
      <c r="E772">
        <v>52</v>
      </c>
      <c r="F772">
        <v>10.67</v>
      </c>
      <c r="G772">
        <v>102.471895</v>
      </c>
      <c r="H772">
        <v>64.59</v>
      </c>
      <c r="I772">
        <v>1128539.3500000001</v>
      </c>
      <c r="J772" t="s">
        <v>14</v>
      </c>
    </row>
    <row r="773" spans="1:10" x14ac:dyDescent="0.35">
      <c r="A773" t="s">
        <v>162</v>
      </c>
      <c r="B773" t="s">
        <v>163</v>
      </c>
      <c r="C773" t="s">
        <v>168</v>
      </c>
      <c r="D773">
        <v>2016</v>
      </c>
      <c r="E773">
        <v>53.33</v>
      </c>
      <c r="F773">
        <v>11</v>
      </c>
      <c r="G773">
        <v>105.293228</v>
      </c>
      <c r="H773">
        <v>74.3</v>
      </c>
      <c r="I773">
        <v>1128558.51</v>
      </c>
      <c r="J773" t="s">
        <v>14</v>
      </c>
    </row>
    <row r="774" spans="1:10" x14ac:dyDescent="0.35">
      <c r="A774" t="s">
        <v>162</v>
      </c>
      <c r="B774" t="s">
        <v>163</v>
      </c>
      <c r="C774" t="s">
        <v>168</v>
      </c>
      <c r="D774">
        <v>2017</v>
      </c>
      <c r="E774">
        <v>54.67</v>
      </c>
      <c r="F774">
        <v>11</v>
      </c>
      <c r="G774">
        <v>108.19795000000001</v>
      </c>
      <c r="H774">
        <v>81.77</v>
      </c>
      <c r="I774">
        <v>1128552.82</v>
      </c>
      <c r="J774" t="s">
        <v>14</v>
      </c>
    </row>
    <row r="775" spans="1:10" x14ac:dyDescent="0.35">
      <c r="A775" t="s">
        <v>162</v>
      </c>
      <c r="B775" t="s">
        <v>163</v>
      </c>
      <c r="C775" t="s">
        <v>168</v>
      </c>
      <c r="D775">
        <v>2018</v>
      </c>
      <c r="E775">
        <v>55.67</v>
      </c>
      <c r="F775">
        <v>11.33</v>
      </c>
      <c r="G775">
        <v>111.12943799999999</v>
      </c>
      <c r="H775">
        <v>84.27</v>
      </c>
      <c r="I775">
        <v>1128561.43</v>
      </c>
      <c r="J775" t="s">
        <v>14</v>
      </c>
    </row>
    <row r="776" spans="1:10" x14ac:dyDescent="0.35">
      <c r="A776" t="s">
        <v>162</v>
      </c>
      <c r="B776" t="s">
        <v>163</v>
      </c>
      <c r="C776" t="s">
        <v>168</v>
      </c>
      <c r="D776">
        <v>2019</v>
      </c>
      <c r="E776">
        <v>57</v>
      </c>
      <c r="F776">
        <v>11.67</v>
      </c>
      <c r="G776">
        <v>114.120594</v>
      </c>
      <c r="H776">
        <v>95.91</v>
      </c>
      <c r="I776">
        <v>1128570.8600000001</v>
      </c>
      <c r="J776" t="s">
        <v>14</v>
      </c>
    </row>
    <row r="777" spans="1:10" x14ac:dyDescent="0.35">
      <c r="A777" t="s">
        <v>162</v>
      </c>
      <c r="B777" t="s">
        <v>163</v>
      </c>
      <c r="C777" t="s">
        <v>168</v>
      </c>
      <c r="D777">
        <v>2020</v>
      </c>
      <c r="E777">
        <v>58</v>
      </c>
      <c r="F777">
        <v>11.67</v>
      </c>
      <c r="G777">
        <v>117.190911</v>
      </c>
      <c r="H777">
        <v>107.66</v>
      </c>
      <c r="I777">
        <v>1128571.26</v>
      </c>
      <c r="J777" t="s">
        <v>14</v>
      </c>
    </row>
    <row r="778" spans="1:10" x14ac:dyDescent="0.35">
      <c r="A778" t="s">
        <v>162</v>
      </c>
      <c r="B778" t="s">
        <v>163</v>
      </c>
      <c r="C778" t="s">
        <v>169</v>
      </c>
      <c r="D778">
        <v>2015</v>
      </c>
      <c r="E778">
        <v>64.33</v>
      </c>
      <c r="F778">
        <v>33</v>
      </c>
      <c r="G778">
        <v>46.851488000000003</v>
      </c>
      <c r="H778">
        <v>70.12</v>
      </c>
      <c r="I778">
        <v>569140</v>
      </c>
      <c r="J778" t="s">
        <v>14</v>
      </c>
    </row>
    <row r="779" spans="1:10" x14ac:dyDescent="0.35">
      <c r="A779" t="s">
        <v>162</v>
      </c>
      <c r="B779" t="s">
        <v>163</v>
      </c>
      <c r="C779" t="s">
        <v>169</v>
      </c>
      <c r="D779">
        <v>2016</v>
      </c>
      <c r="E779">
        <v>65</v>
      </c>
      <c r="F779">
        <v>33</v>
      </c>
      <c r="G779">
        <v>47.894669999999998</v>
      </c>
      <c r="H779">
        <v>74.819999999999993</v>
      </c>
      <c r="I779">
        <v>569140</v>
      </c>
      <c r="J779">
        <v>2.76</v>
      </c>
    </row>
    <row r="780" spans="1:10" x14ac:dyDescent="0.35">
      <c r="A780" t="s">
        <v>162</v>
      </c>
      <c r="B780" t="s">
        <v>163</v>
      </c>
      <c r="C780" t="s">
        <v>169</v>
      </c>
      <c r="D780">
        <v>2017</v>
      </c>
      <c r="E780">
        <v>65.67</v>
      </c>
      <c r="F780">
        <v>33</v>
      </c>
      <c r="G780">
        <v>48.948137000000003</v>
      </c>
      <c r="H780">
        <v>82.04</v>
      </c>
      <c r="I780">
        <v>569140</v>
      </c>
      <c r="J780" t="s">
        <v>14</v>
      </c>
    </row>
    <row r="781" spans="1:10" x14ac:dyDescent="0.35">
      <c r="A781" t="s">
        <v>162</v>
      </c>
      <c r="B781" t="s">
        <v>163</v>
      </c>
      <c r="C781" t="s">
        <v>169</v>
      </c>
      <c r="D781">
        <v>2018</v>
      </c>
      <c r="E781">
        <v>65.67</v>
      </c>
      <c r="F781">
        <v>33.33</v>
      </c>
      <c r="G781">
        <v>49.953304000000003</v>
      </c>
      <c r="H781">
        <v>92.2</v>
      </c>
      <c r="I781">
        <v>569140</v>
      </c>
      <c r="J781" t="s">
        <v>14</v>
      </c>
    </row>
    <row r="782" spans="1:10" x14ac:dyDescent="0.35">
      <c r="A782" t="s">
        <v>162</v>
      </c>
      <c r="B782" t="s">
        <v>163</v>
      </c>
      <c r="C782" t="s">
        <v>169</v>
      </c>
      <c r="D782">
        <v>2019</v>
      </c>
      <c r="E782">
        <v>66.33</v>
      </c>
      <c r="F782">
        <v>33.33</v>
      </c>
      <c r="G782">
        <v>50.951450000000001</v>
      </c>
      <c r="H782">
        <v>100.38</v>
      </c>
      <c r="I782">
        <v>569140</v>
      </c>
      <c r="J782">
        <v>5.01</v>
      </c>
    </row>
    <row r="783" spans="1:10" x14ac:dyDescent="0.35">
      <c r="A783" t="s">
        <v>162</v>
      </c>
      <c r="B783" t="s">
        <v>163</v>
      </c>
      <c r="C783" t="s">
        <v>169</v>
      </c>
      <c r="D783">
        <v>2020</v>
      </c>
      <c r="E783">
        <v>67</v>
      </c>
      <c r="F783">
        <v>33.67</v>
      </c>
      <c r="G783">
        <v>51.985779999999998</v>
      </c>
      <c r="H783">
        <v>100.67</v>
      </c>
      <c r="I783">
        <v>569140</v>
      </c>
      <c r="J783" t="s">
        <v>14</v>
      </c>
    </row>
    <row r="784" spans="1:10" x14ac:dyDescent="0.35">
      <c r="A784" t="s">
        <v>162</v>
      </c>
      <c r="B784" t="s">
        <v>163</v>
      </c>
      <c r="C784" t="s">
        <v>170</v>
      </c>
      <c r="D784">
        <v>2015</v>
      </c>
      <c r="E784">
        <v>53.33</v>
      </c>
      <c r="F784">
        <v>11</v>
      </c>
      <c r="G784">
        <v>24.850912000000001</v>
      </c>
      <c r="H784">
        <v>11.32</v>
      </c>
      <c r="I784">
        <v>581800</v>
      </c>
      <c r="J784">
        <v>1.79</v>
      </c>
    </row>
    <row r="785" spans="1:10" x14ac:dyDescent="0.35">
      <c r="A785" t="s">
        <v>162</v>
      </c>
      <c r="B785" t="s">
        <v>163</v>
      </c>
      <c r="C785" t="s">
        <v>170</v>
      </c>
      <c r="D785">
        <v>2016</v>
      </c>
      <c r="E785">
        <v>54</v>
      </c>
      <c r="F785">
        <v>11.67</v>
      </c>
      <c r="G785">
        <v>25.501940999999999</v>
      </c>
      <c r="H785">
        <v>11.85</v>
      </c>
      <c r="I785">
        <v>581800</v>
      </c>
      <c r="J785" t="s">
        <v>14</v>
      </c>
    </row>
    <row r="786" spans="1:10" x14ac:dyDescent="0.35">
      <c r="A786" t="s">
        <v>162</v>
      </c>
      <c r="B786" t="s">
        <v>163</v>
      </c>
      <c r="C786" t="s">
        <v>170</v>
      </c>
      <c r="D786">
        <v>2017</v>
      </c>
      <c r="E786">
        <v>54.67</v>
      </c>
      <c r="F786">
        <v>12</v>
      </c>
      <c r="G786">
        <v>26.169542</v>
      </c>
      <c r="H786">
        <v>13.18</v>
      </c>
      <c r="I786">
        <v>581800</v>
      </c>
      <c r="J786" t="s">
        <v>14</v>
      </c>
    </row>
    <row r="787" spans="1:10" x14ac:dyDescent="0.35">
      <c r="A787" t="s">
        <v>162</v>
      </c>
      <c r="B787" t="s">
        <v>163</v>
      </c>
      <c r="C787" t="s">
        <v>170</v>
      </c>
      <c r="D787">
        <v>2018</v>
      </c>
      <c r="E787">
        <v>55.33</v>
      </c>
      <c r="F787">
        <v>12.67</v>
      </c>
      <c r="G787">
        <v>26.846540999999998</v>
      </c>
      <c r="H787">
        <v>13.76</v>
      </c>
      <c r="I787">
        <v>581800</v>
      </c>
      <c r="J787" t="s">
        <v>14</v>
      </c>
    </row>
    <row r="788" spans="1:10" x14ac:dyDescent="0.35">
      <c r="A788" t="s">
        <v>162</v>
      </c>
      <c r="B788" t="s">
        <v>163</v>
      </c>
      <c r="C788" t="s">
        <v>170</v>
      </c>
      <c r="D788">
        <v>2019</v>
      </c>
      <c r="E788">
        <v>56</v>
      </c>
      <c r="F788">
        <v>12.67</v>
      </c>
      <c r="G788">
        <v>27.533134</v>
      </c>
      <c r="H788">
        <v>14.1</v>
      </c>
      <c r="I788">
        <v>581800</v>
      </c>
      <c r="J788" t="s">
        <v>14</v>
      </c>
    </row>
    <row r="789" spans="1:10" x14ac:dyDescent="0.35">
      <c r="A789" t="s">
        <v>162</v>
      </c>
      <c r="B789" t="s">
        <v>163</v>
      </c>
      <c r="C789" t="s">
        <v>170</v>
      </c>
      <c r="D789">
        <v>2020</v>
      </c>
      <c r="E789">
        <v>56.33</v>
      </c>
      <c r="F789">
        <v>13</v>
      </c>
      <c r="G789">
        <v>28.225176999999999</v>
      </c>
      <c r="H789">
        <v>13.05</v>
      </c>
      <c r="I789">
        <v>581800</v>
      </c>
      <c r="J789" t="s">
        <v>14</v>
      </c>
    </row>
    <row r="790" spans="1:10" x14ac:dyDescent="0.35">
      <c r="A790" t="s">
        <v>162</v>
      </c>
      <c r="B790" t="s">
        <v>163</v>
      </c>
      <c r="C790" t="s">
        <v>171</v>
      </c>
      <c r="D790">
        <v>2015</v>
      </c>
      <c r="E790">
        <v>71.33</v>
      </c>
      <c r="F790">
        <v>27.67</v>
      </c>
      <c r="G790">
        <v>16.938942000000001</v>
      </c>
      <c r="H790">
        <v>6.37</v>
      </c>
      <c r="I790">
        <v>94280</v>
      </c>
      <c r="J790" t="s">
        <v>14</v>
      </c>
    </row>
    <row r="791" spans="1:10" x14ac:dyDescent="0.35">
      <c r="A791" t="s">
        <v>162</v>
      </c>
      <c r="B791" t="s">
        <v>163</v>
      </c>
      <c r="C791" t="s">
        <v>171</v>
      </c>
      <c r="D791">
        <v>2016</v>
      </c>
      <c r="E791">
        <v>72</v>
      </c>
      <c r="F791">
        <v>27.67</v>
      </c>
      <c r="G791">
        <v>17.405624</v>
      </c>
      <c r="H791">
        <v>5.43</v>
      </c>
      <c r="I791">
        <v>94280</v>
      </c>
      <c r="J791" t="s">
        <v>14</v>
      </c>
    </row>
    <row r="792" spans="1:10" x14ac:dyDescent="0.35">
      <c r="A792" t="s">
        <v>162</v>
      </c>
      <c r="B792" t="s">
        <v>163</v>
      </c>
      <c r="C792" t="s">
        <v>171</v>
      </c>
      <c r="D792">
        <v>2017</v>
      </c>
      <c r="E792">
        <v>72.67</v>
      </c>
      <c r="F792">
        <v>28</v>
      </c>
      <c r="G792">
        <v>17.881167000000001</v>
      </c>
      <c r="H792">
        <v>8.94</v>
      </c>
      <c r="I792">
        <v>94280</v>
      </c>
      <c r="J792">
        <v>3.54</v>
      </c>
    </row>
    <row r="793" spans="1:10" x14ac:dyDescent="0.35">
      <c r="A793" t="s">
        <v>162</v>
      </c>
      <c r="B793" t="s">
        <v>163</v>
      </c>
      <c r="C793" t="s">
        <v>171</v>
      </c>
      <c r="D793">
        <v>2018</v>
      </c>
      <c r="E793">
        <v>73.33</v>
      </c>
      <c r="F793">
        <v>28</v>
      </c>
      <c r="G793">
        <v>18.367882999999999</v>
      </c>
      <c r="H793">
        <v>9.8800000000000008</v>
      </c>
      <c r="I793">
        <v>94280</v>
      </c>
      <c r="J793" t="s">
        <v>14</v>
      </c>
    </row>
    <row r="794" spans="1:10" x14ac:dyDescent="0.35">
      <c r="A794" t="s">
        <v>162</v>
      </c>
      <c r="B794" t="s">
        <v>163</v>
      </c>
      <c r="C794" t="s">
        <v>171</v>
      </c>
      <c r="D794">
        <v>2019</v>
      </c>
      <c r="E794">
        <v>73.67</v>
      </c>
      <c r="F794">
        <v>28.33</v>
      </c>
      <c r="G794">
        <v>18.867336999999999</v>
      </c>
      <c r="H794">
        <v>11.03</v>
      </c>
      <c r="I794">
        <v>94280</v>
      </c>
      <c r="J794" t="s">
        <v>14</v>
      </c>
    </row>
    <row r="795" spans="1:10" x14ac:dyDescent="0.35">
      <c r="A795" t="s">
        <v>162</v>
      </c>
      <c r="B795" t="s">
        <v>163</v>
      </c>
      <c r="C795" t="s">
        <v>171</v>
      </c>
      <c r="D795">
        <v>2020</v>
      </c>
      <c r="E795">
        <v>74.33</v>
      </c>
      <c r="F795">
        <v>28.67</v>
      </c>
      <c r="G795">
        <v>19.377061000000001</v>
      </c>
      <c r="H795">
        <v>12.18</v>
      </c>
      <c r="I795">
        <v>94280</v>
      </c>
      <c r="J795">
        <v>0.91</v>
      </c>
    </row>
    <row r="796" spans="1:10" x14ac:dyDescent="0.35">
      <c r="A796" t="s">
        <v>162</v>
      </c>
      <c r="B796" t="s">
        <v>163</v>
      </c>
      <c r="C796" t="s">
        <v>172</v>
      </c>
      <c r="D796">
        <v>2015</v>
      </c>
      <c r="E796">
        <v>100</v>
      </c>
      <c r="F796">
        <v>95.67</v>
      </c>
      <c r="G796">
        <v>1.262605</v>
      </c>
      <c r="H796">
        <v>12.01</v>
      </c>
      <c r="I796">
        <v>2030</v>
      </c>
      <c r="J796">
        <v>7.41</v>
      </c>
    </row>
    <row r="797" spans="1:10" x14ac:dyDescent="0.35">
      <c r="A797" t="s">
        <v>162</v>
      </c>
      <c r="B797" t="s">
        <v>163</v>
      </c>
      <c r="C797" t="s">
        <v>172</v>
      </c>
      <c r="D797">
        <v>2016</v>
      </c>
      <c r="E797">
        <v>100</v>
      </c>
      <c r="F797">
        <v>95.67</v>
      </c>
      <c r="G797">
        <v>1.2634730000000001</v>
      </c>
      <c r="H797">
        <v>12.59</v>
      </c>
      <c r="I797">
        <v>2030</v>
      </c>
      <c r="J797">
        <v>6.81</v>
      </c>
    </row>
    <row r="798" spans="1:10" x14ac:dyDescent="0.35">
      <c r="A798" t="s">
        <v>162</v>
      </c>
      <c r="B798" t="s">
        <v>163</v>
      </c>
      <c r="C798" t="s">
        <v>172</v>
      </c>
      <c r="D798">
        <v>2017</v>
      </c>
      <c r="E798">
        <v>100</v>
      </c>
      <c r="F798">
        <v>95.67</v>
      </c>
      <c r="G798">
        <v>1.264613</v>
      </c>
      <c r="H798">
        <v>13.71</v>
      </c>
      <c r="I798">
        <v>2030</v>
      </c>
      <c r="J798">
        <v>6.75</v>
      </c>
    </row>
    <row r="799" spans="1:10" x14ac:dyDescent="0.35">
      <c r="A799" t="s">
        <v>162</v>
      </c>
      <c r="B799" t="s">
        <v>163</v>
      </c>
      <c r="C799" t="s">
        <v>172</v>
      </c>
      <c r="D799">
        <v>2018</v>
      </c>
      <c r="E799">
        <v>100</v>
      </c>
      <c r="F799">
        <v>96</v>
      </c>
      <c r="G799">
        <v>1.2653030000000001</v>
      </c>
      <c r="H799">
        <v>14.74</v>
      </c>
      <c r="I799">
        <v>2030</v>
      </c>
      <c r="J799">
        <v>6.43</v>
      </c>
    </row>
    <row r="800" spans="1:10" x14ac:dyDescent="0.35">
      <c r="A800" t="s">
        <v>162</v>
      </c>
      <c r="B800" t="s">
        <v>163</v>
      </c>
      <c r="C800" t="s">
        <v>172</v>
      </c>
      <c r="D800">
        <v>2019</v>
      </c>
      <c r="E800">
        <v>100</v>
      </c>
      <c r="F800">
        <v>96</v>
      </c>
      <c r="G800">
        <v>1.265711</v>
      </c>
      <c r="H800">
        <v>14.44</v>
      </c>
      <c r="I800">
        <v>2030</v>
      </c>
      <c r="J800">
        <v>6.33</v>
      </c>
    </row>
    <row r="801" spans="1:10" x14ac:dyDescent="0.35">
      <c r="A801" t="s">
        <v>162</v>
      </c>
      <c r="B801" t="s">
        <v>163</v>
      </c>
      <c r="C801" t="s">
        <v>172</v>
      </c>
      <c r="D801">
        <v>2020</v>
      </c>
      <c r="E801">
        <v>100</v>
      </c>
      <c r="F801">
        <v>96</v>
      </c>
      <c r="G801">
        <v>1.2657400000000001</v>
      </c>
      <c r="H801">
        <v>11.4</v>
      </c>
      <c r="I801">
        <v>2030</v>
      </c>
      <c r="J801">
        <v>8.6300000000000008</v>
      </c>
    </row>
    <row r="802" spans="1:10" x14ac:dyDescent="0.35">
      <c r="A802" t="s">
        <v>162</v>
      </c>
      <c r="B802" t="s">
        <v>163</v>
      </c>
      <c r="C802" t="s">
        <v>173</v>
      </c>
      <c r="D802">
        <v>2015</v>
      </c>
      <c r="E802">
        <v>97</v>
      </c>
      <c r="F802">
        <v>89</v>
      </c>
      <c r="G802" t="s">
        <v>14</v>
      </c>
      <c r="H802" t="s">
        <v>14</v>
      </c>
      <c r="I802" t="s">
        <v>14</v>
      </c>
      <c r="J802" t="s">
        <v>14</v>
      </c>
    </row>
    <row r="803" spans="1:10" x14ac:dyDescent="0.35">
      <c r="A803" t="s">
        <v>162</v>
      </c>
      <c r="B803" t="s">
        <v>163</v>
      </c>
      <c r="C803" t="s">
        <v>173</v>
      </c>
      <c r="D803">
        <v>2016</v>
      </c>
      <c r="E803">
        <v>97</v>
      </c>
      <c r="F803">
        <v>93</v>
      </c>
      <c r="G803" t="s">
        <v>14</v>
      </c>
      <c r="H803" t="s">
        <v>14</v>
      </c>
      <c r="I803" t="s">
        <v>14</v>
      </c>
      <c r="J803" t="s">
        <v>14</v>
      </c>
    </row>
    <row r="804" spans="1:10" x14ac:dyDescent="0.35">
      <c r="A804" t="s">
        <v>162</v>
      </c>
      <c r="B804" t="s">
        <v>163</v>
      </c>
      <c r="C804" t="s">
        <v>173</v>
      </c>
      <c r="D804">
        <v>2017</v>
      </c>
      <c r="E804">
        <v>97</v>
      </c>
      <c r="F804">
        <v>97</v>
      </c>
      <c r="G804" t="s">
        <v>14</v>
      </c>
      <c r="H804" t="s">
        <v>14</v>
      </c>
      <c r="I804" t="s">
        <v>14</v>
      </c>
      <c r="J804" t="s">
        <v>14</v>
      </c>
    </row>
    <row r="805" spans="1:10" x14ac:dyDescent="0.35">
      <c r="A805" t="s">
        <v>162</v>
      </c>
      <c r="B805" t="s">
        <v>163</v>
      </c>
      <c r="C805" t="s">
        <v>173</v>
      </c>
      <c r="D805">
        <v>2018</v>
      </c>
      <c r="E805">
        <v>96</v>
      </c>
      <c r="F805">
        <v>100</v>
      </c>
      <c r="G805" t="s">
        <v>14</v>
      </c>
      <c r="H805" t="s">
        <v>14</v>
      </c>
      <c r="I805" t="s">
        <v>14</v>
      </c>
      <c r="J805" t="s">
        <v>14</v>
      </c>
    </row>
    <row r="806" spans="1:10" x14ac:dyDescent="0.35">
      <c r="A806" t="s">
        <v>162</v>
      </c>
      <c r="B806" t="s">
        <v>163</v>
      </c>
      <c r="C806" t="s">
        <v>173</v>
      </c>
      <c r="D806">
        <v>2019</v>
      </c>
      <c r="E806">
        <v>96</v>
      </c>
      <c r="F806">
        <v>100</v>
      </c>
      <c r="G806" t="s">
        <v>14</v>
      </c>
      <c r="H806" t="s">
        <v>14</v>
      </c>
      <c r="I806" t="s">
        <v>14</v>
      </c>
      <c r="J806" t="s">
        <v>14</v>
      </c>
    </row>
    <row r="807" spans="1:10" x14ac:dyDescent="0.35">
      <c r="A807" t="s">
        <v>162</v>
      </c>
      <c r="B807" t="s">
        <v>163</v>
      </c>
      <c r="C807" t="s">
        <v>173</v>
      </c>
      <c r="D807">
        <v>2020</v>
      </c>
      <c r="E807">
        <v>96</v>
      </c>
      <c r="F807">
        <v>100</v>
      </c>
      <c r="G807" t="s">
        <v>14</v>
      </c>
      <c r="H807" t="s">
        <v>14</v>
      </c>
      <c r="I807" t="s">
        <v>14</v>
      </c>
      <c r="J807" t="s">
        <v>14</v>
      </c>
    </row>
    <row r="808" spans="1:10" x14ac:dyDescent="0.35">
      <c r="A808" t="s">
        <v>162</v>
      </c>
      <c r="B808" t="s">
        <v>163</v>
      </c>
      <c r="C808" t="s">
        <v>174</v>
      </c>
      <c r="D808">
        <v>2015</v>
      </c>
      <c r="E808">
        <v>55.67</v>
      </c>
      <c r="F808">
        <v>33</v>
      </c>
      <c r="G808">
        <v>26.843246000000001</v>
      </c>
      <c r="H808">
        <v>15.95</v>
      </c>
      <c r="I808">
        <v>786380</v>
      </c>
      <c r="J808">
        <v>3.43</v>
      </c>
    </row>
    <row r="809" spans="1:10" x14ac:dyDescent="0.35">
      <c r="A809" t="s">
        <v>162</v>
      </c>
      <c r="B809" t="s">
        <v>163</v>
      </c>
      <c r="C809" t="s">
        <v>174</v>
      </c>
      <c r="D809">
        <v>2016</v>
      </c>
      <c r="E809">
        <v>58</v>
      </c>
      <c r="F809">
        <v>34.67</v>
      </c>
      <c r="G809">
        <v>27.696493</v>
      </c>
      <c r="H809">
        <v>11.94</v>
      </c>
      <c r="I809">
        <v>786380</v>
      </c>
      <c r="J809" t="s">
        <v>14</v>
      </c>
    </row>
    <row r="810" spans="1:10" x14ac:dyDescent="0.35">
      <c r="A810" t="s">
        <v>162</v>
      </c>
      <c r="B810" t="s">
        <v>163</v>
      </c>
      <c r="C810" t="s">
        <v>174</v>
      </c>
      <c r="D810">
        <v>2017</v>
      </c>
      <c r="E810">
        <v>60</v>
      </c>
      <c r="F810">
        <v>35.67</v>
      </c>
      <c r="G810">
        <v>28.569441000000001</v>
      </c>
      <c r="H810">
        <v>13.22</v>
      </c>
      <c r="I810">
        <v>786380</v>
      </c>
      <c r="J810" t="s">
        <v>14</v>
      </c>
    </row>
    <row r="811" spans="1:10" x14ac:dyDescent="0.35">
      <c r="A811" t="s">
        <v>162</v>
      </c>
      <c r="B811" t="s">
        <v>163</v>
      </c>
      <c r="C811" t="s">
        <v>174</v>
      </c>
      <c r="D811">
        <v>2018</v>
      </c>
      <c r="E811">
        <v>62.33</v>
      </c>
      <c r="F811">
        <v>37.33</v>
      </c>
      <c r="G811">
        <v>29.423877999999998</v>
      </c>
      <c r="H811">
        <v>14.85</v>
      </c>
      <c r="I811">
        <v>786380</v>
      </c>
      <c r="J811" t="s">
        <v>14</v>
      </c>
    </row>
    <row r="812" spans="1:10" x14ac:dyDescent="0.35">
      <c r="A812" t="s">
        <v>162</v>
      </c>
      <c r="B812" t="s">
        <v>163</v>
      </c>
      <c r="C812" t="s">
        <v>174</v>
      </c>
      <c r="D812">
        <v>2019</v>
      </c>
      <c r="E812">
        <v>64.33</v>
      </c>
      <c r="F812">
        <v>39.33</v>
      </c>
      <c r="G812">
        <v>30.285595000000001</v>
      </c>
      <c r="H812">
        <v>15.39</v>
      </c>
      <c r="I812">
        <v>786380</v>
      </c>
      <c r="J812" t="s">
        <v>14</v>
      </c>
    </row>
    <row r="813" spans="1:10" x14ac:dyDescent="0.35">
      <c r="A813" t="s">
        <v>162</v>
      </c>
      <c r="B813" t="s">
        <v>163</v>
      </c>
      <c r="C813" t="s">
        <v>174</v>
      </c>
      <c r="D813">
        <v>2020</v>
      </c>
      <c r="E813">
        <v>66.67</v>
      </c>
      <c r="F813">
        <v>40.33</v>
      </c>
      <c r="G813">
        <v>31.178239000000001</v>
      </c>
      <c r="H813">
        <v>14.03</v>
      </c>
      <c r="I813">
        <v>786380</v>
      </c>
      <c r="J813" t="s">
        <v>14</v>
      </c>
    </row>
    <row r="814" spans="1:10" x14ac:dyDescent="0.35">
      <c r="A814" t="s">
        <v>162</v>
      </c>
      <c r="B814" t="s">
        <v>163</v>
      </c>
      <c r="C814" t="s">
        <v>175</v>
      </c>
      <c r="D814">
        <v>2015</v>
      </c>
      <c r="E814">
        <v>63</v>
      </c>
      <c r="F814">
        <v>61</v>
      </c>
      <c r="G814">
        <v>11.642958999999999</v>
      </c>
      <c r="H814">
        <v>8.5399999999999991</v>
      </c>
      <c r="I814">
        <v>24670</v>
      </c>
      <c r="J814" t="s">
        <v>14</v>
      </c>
    </row>
    <row r="815" spans="1:10" x14ac:dyDescent="0.35">
      <c r="A815" t="s">
        <v>162</v>
      </c>
      <c r="B815" t="s">
        <v>163</v>
      </c>
      <c r="C815" t="s">
        <v>175</v>
      </c>
      <c r="D815">
        <v>2016</v>
      </c>
      <c r="E815">
        <v>64</v>
      </c>
      <c r="F815">
        <v>62</v>
      </c>
      <c r="G815">
        <v>11.930899</v>
      </c>
      <c r="H815">
        <v>8.69</v>
      </c>
      <c r="I815">
        <v>24670</v>
      </c>
      <c r="J815" t="s">
        <v>14</v>
      </c>
    </row>
    <row r="816" spans="1:10" x14ac:dyDescent="0.35">
      <c r="A816" t="s">
        <v>162</v>
      </c>
      <c r="B816" t="s">
        <v>163</v>
      </c>
      <c r="C816" t="s">
        <v>175</v>
      </c>
      <c r="D816">
        <v>2017</v>
      </c>
      <c r="E816">
        <v>65</v>
      </c>
      <c r="F816">
        <v>63</v>
      </c>
      <c r="G816">
        <v>12.230339000000001</v>
      </c>
      <c r="H816">
        <v>9.25</v>
      </c>
      <c r="I816">
        <v>24670</v>
      </c>
      <c r="J816">
        <v>11.88</v>
      </c>
    </row>
    <row r="817" spans="1:10" x14ac:dyDescent="0.35">
      <c r="A817" t="s">
        <v>162</v>
      </c>
      <c r="B817" t="s">
        <v>163</v>
      </c>
      <c r="C817" t="s">
        <v>175</v>
      </c>
      <c r="D817">
        <v>2018</v>
      </c>
      <c r="E817">
        <v>65.67</v>
      </c>
      <c r="F817">
        <v>63.33</v>
      </c>
      <c r="G817">
        <v>12.531808</v>
      </c>
      <c r="H817">
        <v>9.64</v>
      </c>
      <c r="I817">
        <v>24670</v>
      </c>
      <c r="J817">
        <v>10.76</v>
      </c>
    </row>
    <row r="818" spans="1:10" x14ac:dyDescent="0.35">
      <c r="A818" t="s">
        <v>162</v>
      </c>
      <c r="B818" t="s">
        <v>163</v>
      </c>
      <c r="C818" t="s">
        <v>175</v>
      </c>
      <c r="D818">
        <v>2019</v>
      </c>
      <c r="E818">
        <v>66.33</v>
      </c>
      <c r="F818">
        <v>64</v>
      </c>
      <c r="G818">
        <v>12.835027999999999</v>
      </c>
      <c r="H818">
        <v>10.36</v>
      </c>
      <c r="I818">
        <v>24670</v>
      </c>
      <c r="J818">
        <v>11.24</v>
      </c>
    </row>
    <row r="819" spans="1:10" x14ac:dyDescent="0.35">
      <c r="A819" t="s">
        <v>162</v>
      </c>
      <c r="B819" t="s">
        <v>163</v>
      </c>
      <c r="C819" t="s">
        <v>175</v>
      </c>
      <c r="D819">
        <v>2020</v>
      </c>
      <c r="E819">
        <v>66.33</v>
      </c>
      <c r="F819">
        <v>64</v>
      </c>
      <c r="G819">
        <v>13.146362</v>
      </c>
      <c r="H819">
        <v>10.18</v>
      </c>
      <c r="I819">
        <v>24670</v>
      </c>
      <c r="J819">
        <v>11.83</v>
      </c>
    </row>
    <row r="820" spans="1:10" x14ac:dyDescent="0.35">
      <c r="A820" t="s">
        <v>162</v>
      </c>
      <c r="B820" t="s">
        <v>163</v>
      </c>
      <c r="C820" t="s">
        <v>176</v>
      </c>
      <c r="D820">
        <v>2015</v>
      </c>
      <c r="E820">
        <v>100</v>
      </c>
      <c r="F820">
        <v>99</v>
      </c>
      <c r="G820" t="s">
        <v>14</v>
      </c>
      <c r="H820" t="s">
        <v>14</v>
      </c>
      <c r="I820" t="s">
        <v>14</v>
      </c>
      <c r="J820" t="s">
        <v>14</v>
      </c>
    </row>
    <row r="821" spans="1:10" x14ac:dyDescent="0.35">
      <c r="A821" t="s">
        <v>162</v>
      </c>
      <c r="B821" t="s">
        <v>163</v>
      </c>
      <c r="C821" t="s">
        <v>176</v>
      </c>
      <c r="D821">
        <v>2016</v>
      </c>
      <c r="E821">
        <v>100</v>
      </c>
      <c r="F821">
        <v>99</v>
      </c>
      <c r="G821" t="s">
        <v>14</v>
      </c>
      <c r="H821" t="s">
        <v>14</v>
      </c>
      <c r="I821" t="s">
        <v>14</v>
      </c>
      <c r="J821" t="s">
        <v>14</v>
      </c>
    </row>
    <row r="822" spans="1:10" x14ac:dyDescent="0.35">
      <c r="A822" t="s">
        <v>162</v>
      </c>
      <c r="B822" t="s">
        <v>163</v>
      </c>
      <c r="C822" t="s">
        <v>176</v>
      </c>
      <c r="D822">
        <v>2017</v>
      </c>
      <c r="E822">
        <v>100</v>
      </c>
      <c r="F822">
        <v>99</v>
      </c>
      <c r="G822" t="s">
        <v>14</v>
      </c>
      <c r="H822" t="s">
        <v>14</v>
      </c>
      <c r="I822" t="s">
        <v>14</v>
      </c>
      <c r="J822" t="s">
        <v>14</v>
      </c>
    </row>
    <row r="823" spans="1:10" x14ac:dyDescent="0.35">
      <c r="A823" t="s">
        <v>162</v>
      </c>
      <c r="B823" t="s">
        <v>163</v>
      </c>
      <c r="C823" t="s">
        <v>176</v>
      </c>
      <c r="D823">
        <v>2018</v>
      </c>
      <c r="E823">
        <v>100</v>
      </c>
      <c r="F823">
        <v>100</v>
      </c>
      <c r="G823" t="s">
        <v>14</v>
      </c>
      <c r="H823" t="s">
        <v>14</v>
      </c>
      <c r="I823" t="s">
        <v>14</v>
      </c>
      <c r="J823" t="s">
        <v>14</v>
      </c>
    </row>
    <row r="824" spans="1:10" x14ac:dyDescent="0.35">
      <c r="A824" t="s">
        <v>162</v>
      </c>
      <c r="B824" t="s">
        <v>163</v>
      </c>
      <c r="C824" t="s">
        <v>176</v>
      </c>
      <c r="D824">
        <v>2019</v>
      </c>
      <c r="E824">
        <v>100</v>
      </c>
      <c r="F824">
        <v>100</v>
      </c>
      <c r="G824" t="s">
        <v>14</v>
      </c>
      <c r="H824" t="s">
        <v>14</v>
      </c>
      <c r="I824" t="s">
        <v>14</v>
      </c>
      <c r="J824" t="s">
        <v>14</v>
      </c>
    </row>
    <row r="825" spans="1:10" x14ac:dyDescent="0.35">
      <c r="A825" t="s">
        <v>162</v>
      </c>
      <c r="B825" t="s">
        <v>163</v>
      </c>
      <c r="C825" t="s">
        <v>176</v>
      </c>
      <c r="D825">
        <v>2020</v>
      </c>
      <c r="E825">
        <v>100</v>
      </c>
      <c r="F825">
        <v>100</v>
      </c>
      <c r="G825" t="s">
        <v>14</v>
      </c>
      <c r="H825" t="s">
        <v>14</v>
      </c>
      <c r="I825" t="s">
        <v>14</v>
      </c>
      <c r="J825" t="s">
        <v>14</v>
      </c>
    </row>
    <row r="826" spans="1:10" x14ac:dyDescent="0.35">
      <c r="A826" t="s">
        <v>162</v>
      </c>
      <c r="B826" t="s">
        <v>163</v>
      </c>
      <c r="C826" t="s">
        <v>177</v>
      </c>
      <c r="D826">
        <v>2015</v>
      </c>
      <c r="E826">
        <v>96</v>
      </c>
      <c r="F826">
        <v>100</v>
      </c>
      <c r="G826">
        <v>9.3419000000000002E-2</v>
      </c>
      <c r="H826">
        <v>1.42</v>
      </c>
      <c r="I826">
        <v>460</v>
      </c>
      <c r="J826">
        <v>4.1500000000000004</v>
      </c>
    </row>
    <row r="827" spans="1:10" x14ac:dyDescent="0.35">
      <c r="A827" t="s">
        <v>162</v>
      </c>
      <c r="B827" t="s">
        <v>163</v>
      </c>
      <c r="C827" t="s">
        <v>177</v>
      </c>
      <c r="D827">
        <v>2016</v>
      </c>
      <c r="E827">
        <v>96</v>
      </c>
      <c r="F827">
        <v>100</v>
      </c>
      <c r="G827">
        <v>9.4676999999999997E-2</v>
      </c>
      <c r="H827">
        <v>1.49</v>
      </c>
      <c r="I827">
        <v>460</v>
      </c>
      <c r="J827">
        <v>3.96</v>
      </c>
    </row>
    <row r="828" spans="1:10" x14ac:dyDescent="0.35">
      <c r="A828" t="s">
        <v>162</v>
      </c>
      <c r="B828" t="s">
        <v>163</v>
      </c>
      <c r="C828" t="s">
        <v>177</v>
      </c>
      <c r="D828">
        <v>2017</v>
      </c>
      <c r="E828">
        <v>96</v>
      </c>
      <c r="F828">
        <v>100</v>
      </c>
      <c r="G828">
        <v>9.5842999999999998E-2</v>
      </c>
      <c r="H828">
        <v>1.57</v>
      </c>
      <c r="I828">
        <v>460</v>
      </c>
      <c r="J828">
        <v>3.71</v>
      </c>
    </row>
    <row r="829" spans="1:10" x14ac:dyDescent="0.35">
      <c r="A829" t="s">
        <v>162</v>
      </c>
      <c r="B829" t="s">
        <v>163</v>
      </c>
      <c r="C829" t="s">
        <v>177</v>
      </c>
      <c r="D829">
        <v>2018</v>
      </c>
      <c r="E829">
        <v>96</v>
      </c>
      <c r="F829">
        <v>100</v>
      </c>
      <c r="G829">
        <v>9.6762000000000001E-2</v>
      </c>
      <c r="H829">
        <v>1.64</v>
      </c>
      <c r="I829">
        <v>460</v>
      </c>
      <c r="J829">
        <v>3.53</v>
      </c>
    </row>
    <row r="830" spans="1:10" x14ac:dyDescent="0.35">
      <c r="A830" t="s">
        <v>162</v>
      </c>
      <c r="B830" t="s">
        <v>163</v>
      </c>
      <c r="C830" t="s">
        <v>177</v>
      </c>
      <c r="D830">
        <v>2019</v>
      </c>
      <c r="E830">
        <v>97</v>
      </c>
      <c r="F830">
        <v>100</v>
      </c>
      <c r="G830">
        <v>9.7625000000000003E-2</v>
      </c>
      <c r="H830">
        <v>1.68</v>
      </c>
      <c r="I830">
        <v>460</v>
      </c>
      <c r="J830">
        <v>2.97</v>
      </c>
    </row>
    <row r="831" spans="1:10" x14ac:dyDescent="0.35">
      <c r="A831" t="s">
        <v>162</v>
      </c>
      <c r="B831" t="s">
        <v>163</v>
      </c>
      <c r="C831" t="s">
        <v>178</v>
      </c>
      <c r="D831">
        <v>2015</v>
      </c>
      <c r="E831">
        <v>50.67</v>
      </c>
      <c r="F831">
        <v>35.67</v>
      </c>
      <c r="G831">
        <v>13.763906</v>
      </c>
      <c r="H831">
        <v>5.33</v>
      </c>
      <c r="I831">
        <v>627340</v>
      </c>
      <c r="J831" t="s">
        <v>14</v>
      </c>
    </row>
    <row r="832" spans="1:10" x14ac:dyDescent="0.35">
      <c r="A832" t="s">
        <v>162</v>
      </c>
      <c r="B832" t="s">
        <v>163</v>
      </c>
      <c r="C832" t="s">
        <v>178</v>
      </c>
      <c r="D832">
        <v>2016</v>
      </c>
      <c r="E832">
        <v>52</v>
      </c>
      <c r="F832">
        <v>36.33</v>
      </c>
      <c r="G832">
        <v>14.292847</v>
      </c>
      <c r="H832">
        <v>5.53</v>
      </c>
      <c r="I832">
        <v>627340</v>
      </c>
      <c r="J832" t="s">
        <v>14</v>
      </c>
    </row>
    <row r="833" spans="1:10" x14ac:dyDescent="0.35">
      <c r="A833" t="s">
        <v>162</v>
      </c>
      <c r="B833" t="s">
        <v>163</v>
      </c>
      <c r="C833" t="s">
        <v>178</v>
      </c>
      <c r="D833">
        <v>2017</v>
      </c>
      <c r="E833">
        <v>53.33</v>
      </c>
      <c r="F833">
        <v>37.33</v>
      </c>
      <c r="G833">
        <v>14.864221000000001</v>
      </c>
      <c r="H833">
        <v>5.61</v>
      </c>
      <c r="I833">
        <v>627340</v>
      </c>
      <c r="J833" t="s">
        <v>14</v>
      </c>
    </row>
    <row r="834" spans="1:10" x14ac:dyDescent="0.35">
      <c r="A834" t="s">
        <v>162</v>
      </c>
      <c r="B834" t="s">
        <v>163</v>
      </c>
      <c r="C834" t="s">
        <v>178</v>
      </c>
      <c r="D834">
        <v>2018</v>
      </c>
      <c r="E834">
        <v>54.67</v>
      </c>
      <c r="F834">
        <v>38</v>
      </c>
      <c r="G834">
        <v>15.411094</v>
      </c>
      <c r="H834">
        <v>5.86</v>
      </c>
      <c r="I834">
        <v>627340</v>
      </c>
      <c r="J834" t="s">
        <v>14</v>
      </c>
    </row>
    <row r="835" spans="1:10" x14ac:dyDescent="0.35">
      <c r="A835" t="s">
        <v>162</v>
      </c>
      <c r="B835" t="s">
        <v>163</v>
      </c>
      <c r="C835" t="s">
        <v>178</v>
      </c>
      <c r="D835">
        <v>2019</v>
      </c>
      <c r="E835">
        <v>56.33</v>
      </c>
      <c r="F835">
        <v>39.33</v>
      </c>
      <c r="G835">
        <v>15.981299999999999</v>
      </c>
      <c r="H835">
        <v>6.49</v>
      </c>
      <c r="I835">
        <v>627340</v>
      </c>
      <c r="J835">
        <v>18.829999999999998</v>
      </c>
    </row>
    <row r="836" spans="1:10" x14ac:dyDescent="0.35">
      <c r="A836" t="s">
        <v>162</v>
      </c>
      <c r="B836" t="s">
        <v>163</v>
      </c>
      <c r="C836" t="s">
        <v>178</v>
      </c>
      <c r="D836">
        <v>2020</v>
      </c>
      <c r="E836">
        <v>57.33</v>
      </c>
      <c r="F836">
        <v>40</v>
      </c>
      <c r="G836">
        <v>16.537016000000001</v>
      </c>
      <c r="H836">
        <v>6.88</v>
      </c>
      <c r="I836">
        <v>627340</v>
      </c>
      <c r="J836" t="s">
        <v>14</v>
      </c>
    </row>
    <row r="837" spans="1:10" x14ac:dyDescent="0.35">
      <c r="A837" t="s">
        <v>162</v>
      </c>
      <c r="B837" t="s">
        <v>163</v>
      </c>
      <c r="C837" t="s">
        <v>179</v>
      </c>
      <c r="D837">
        <v>2015</v>
      </c>
      <c r="E837">
        <v>46.33</v>
      </c>
      <c r="F837">
        <v>15.67</v>
      </c>
      <c r="G837">
        <v>11.194299000000001</v>
      </c>
      <c r="H837">
        <v>12</v>
      </c>
      <c r="I837">
        <v>631930</v>
      </c>
      <c r="J837" t="s">
        <v>14</v>
      </c>
    </row>
    <row r="838" spans="1:10" x14ac:dyDescent="0.35">
      <c r="A838" t="s">
        <v>162</v>
      </c>
      <c r="B838" t="s">
        <v>163</v>
      </c>
      <c r="C838" t="s">
        <v>179</v>
      </c>
      <c r="D838">
        <v>2016</v>
      </c>
      <c r="E838">
        <v>46.67</v>
      </c>
      <c r="F838">
        <v>17</v>
      </c>
      <c r="G838">
        <v>11.066105</v>
      </c>
      <c r="H838" t="s">
        <v>14</v>
      </c>
      <c r="I838">
        <v>631930</v>
      </c>
      <c r="J838" t="s">
        <v>14</v>
      </c>
    </row>
    <row r="839" spans="1:10" x14ac:dyDescent="0.35">
      <c r="A839" t="s">
        <v>162</v>
      </c>
      <c r="B839" t="s">
        <v>163</v>
      </c>
      <c r="C839" t="s">
        <v>179</v>
      </c>
      <c r="D839">
        <v>2017</v>
      </c>
      <c r="E839">
        <v>47</v>
      </c>
      <c r="F839">
        <v>18.670000000000002</v>
      </c>
      <c r="G839">
        <v>10.658226000000001</v>
      </c>
      <c r="H839" t="s">
        <v>14</v>
      </c>
      <c r="I839">
        <v>631930</v>
      </c>
      <c r="J839" t="s">
        <v>14</v>
      </c>
    </row>
    <row r="840" spans="1:10" x14ac:dyDescent="0.35">
      <c r="A840" t="s">
        <v>162</v>
      </c>
      <c r="B840" t="s">
        <v>163</v>
      </c>
      <c r="C840" t="s">
        <v>179</v>
      </c>
      <c r="D840">
        <v>2018</v>
      </c>
      <c r="E840">
        <v>47.67</v>
      </c>
      <c r="F840">
        <v>20.67</v>
      </c>
      <c r="G840">
        <v>10.395329</v>
      </c>
      <c r="H840" t="s">
        <v>14</v>
      </c>
      <c r="I840">
        <v>631930</v>
      </c>
      <c r="J840" t="s">
        <v>14</v>
      </c>
    </row>
    <row r="841" spans="1:10" x14ac:dyDescent="0.35">
      <c r="A841" t="s">
        <v>162</v>
      </c>
      <c r="B841" t="s">
        <v>163</v>
      </c>
      <c r="C841" t="s">
        <v>179</v>
      </c>
      <c r="D841">
        <v>2019</v>
      </c>
      <c r="E841">
        <v>48.33</v>
      </c>
      <c r="F841">
        <v>22.33</v>
      </c>
      <c r="G841">
        <v>10.447666</v>
      </c>
      <c r="H841" t="s">
        <v>14</v>
      </c>
      <c r="I841">
        <v>631930</v>
      </c>
      <c r="J841" t="s">
        <v>14</v>
      </c>
    </row>
    <row r="842" spans="1:10" x14ac:dyDescent="0.35">
      <c r="A842" t="s">
        <v>162</v>
      </c>
      <c r="B842" t="s">
        <v>163</v>
      </c>
      <c r="C842" t="s">
        <v>179</v>
      </c>
      <c r="D842">
        <v>2020</v>
      </c>
      <c r="E842">
        <v>48.33</v>
      </c>
      <c r="F842">
        <v>22.33</v>
      </c>
      <c r="G842">
        <v>10.606227000000001</v>
      </c>
      <c r="H842" t="s">
        <v>14</v>
      </c>
      <c r="I842">
        <v>631930</v>
      </c>
      <c r="J842" t="s">
        <v>14</v>
      </c>
    </row>
    <row r="843" spans="1:10" x14ac:dyDescent="0.35">
      <c r="A843" t="s">
        <v>162</v>
      </c>
      <c r="B843" t="s">
        <v>163</v>
      </c>
      <c r="C843" t="s">
        <v>180</v>
      </c>
      <c r="D843">
        <v>2015</v>
      </c>
      <c r="E843">
        <v>55</v>
      </c>
      <c r="F843">
        <v>21.33</v>
      </c>
      <c r="G843">
        <v>37.477356</v>
      </c>
      <c r="H843">
        <v>32.39</v>
      </c>
      <c r="I843">
        <v>200520</v>
      </c>
      <c r="J843" t="s">
        <v>14</v>
      </c>
    </row>
    <row r="844" spans="1:10" x14ac:dyDescent="0.35">
      <c r="A844" t="s">
        <v>162</v>
      </c>
      <c r="B844" t="s">
        <v>163</v>
      </c>
      <c r="C844" t="s">
        <v>180</v>
      </c>
      <c r="D844">
        <v>2016</v>
      </c>
      <c r="E844">
        <v>55.67</v>
      </c>
      <c r="F844">
        <v>21.33</v>
      </c>
      <c r="G844">
        <v>38.748299000000003</v>
      </c>
      <c r="H844">
        <v>29.2</v>
      </c>
      <c r="I844">
        <v>200520</v>
      </c>
      <c r="J844" t="s">
        <v>14</v>
      </c>
    </row>
    <row r="845" spans="1:10" x14ac:dyDescent="0.35">
      <c r="A845" t="s">
        <v>162</v>
      </c>
      <c r="B845" t="s">
        <v>163</v>
      </c>
      <c r="C845" t="s">
        <v>180</v>
      </c>
      <c r="D845">
        <v>2017</v>
      </c>
      <c r="E845">
        <v>57</v>
      </c>
      <c r="F845">
        <v>21.33</v>
      </c>
      <c r="G845">
        <v>40.127085000000001</v>
      </c>
      <c r="H845">
        <v>30.74</v>
      </c>
      <c r="I845">
        <v>200520</v>
      </c>
      <c r="J845">
        <v>3.64</v>
      </c>
    </row>
    <row r="846" spans="1:10" x14ac:dyDescent="0.35">
      <c r="A846" t="s">
        <v>162</v>
      </c>
      <c r="B846" t="s">
        <v>163</v>
      </c>
      <c r="C846" t="s">
        <v>180</v>
      </c>
      <c r="D846">
        <v>2018</v>
      </c>
      <c r="E846">
        <v>58.67</v>
      </c>
      <c r="F846">
        <v>21.67</v>
      </c>
      <c r="G846">
        <v>41.515394999999998</v>
      </c>
      <c r="H846">
        <v>32.93</v>
      </c>
      <c r="I846">
        <v>200520</v>
      </c>
      <c r="J846" t="s">
        <v>14</v>
      </c>
    </row>
    <row r="847" spans="1:10" x14ac:dyDescent="0.35">
      <c r="A847" t="s">
        <v>162</v>
      </c>
      <c r="B847" t="s">
        <v>163</v>
      </c>
      <c r="C847" t="s">
        <v>180</v>
      </c>
      <c r="D847">
        <v>2019</v>
      </c>
      <c r="E847">
        <v>59.33</v>
      </c>
      <c r="F847">
        <v>21.67</v>
      </c>
      <c r="G847">
        <v>42.949080000000002</v>
      </c>
      <c r="H847">
        <v>35.35</v>
      </c>
      <c r="I847">
        <v>200520</v>
      </c>
      <c r="J847" t="s">
        <v>14</v>
      </c>
    </row>
    <row r="848" spans="1:10" x14ac:dyDescent="0.35">
      <c r="A848" t="s">
        <v>162</v>
      </c>
      <c r="B848" t="s">
        <v>163</v>
      </c>
      <c r="C848" t="s">
        <v>180</v>
      </c>
      <c r="D848">
        <v>2020</v>
      </c>
      <c r="E848">
        <v>61</v>
      </c>
      <c r="F848">
        <v>21.67</v>
      </c>
      <c r="G848">
        <v>44.404611000000003</v>
      </c>
      <c r="H848">
        <v>37.6</v>
      </c>
      <c r="I848">
        <v>200520</v>
      </c>
      <c r="J848" t="s">
        <v>14</v>
      </c>
    </row>
    <row r="849" spans="1:10" x14ac:dyDescent="0.35">
      <c r="A849" t="s">
        <v>162</v>
      </c>
      <c r="B849" t="s">
        <v>163</v>
      </c>
      <c r="C849" t="s">
        <v>181</v>
      </c>
      <c r="D849">
        <v>2015</v>
      </c>
      <c r="E849">
        <v>58.33</v>
      </c>
      <c r="F849">
        <v>28.33</v>
      </c>
      <c r="G849" t="s">
        <v>14</v>
      </c>
      <c r="H849" t="s">
        <v>14</v>
      </c>
      <c r="I849" t="s">
        <v>14</v>
      </c>
      <c r="J849" t="s">
        <v>14</v>
      </c>
    </row>
    <row r="850" spans="1:10" x14ac:dyDescent="0.35">
      <c r="A850" t="s">
        <v>162</v>
      </c>
      <c r="B850" t="s">
        <v>163</v>
      </c>
      <c r="C850" t="s">
        <v>181</v>
      </c>
      <c r="D850">
        <v>2016</v>
      </c>
      <c r="E850">
        <v>60</v>
      </c>
      <c r="F850">
        <v>29.33</v>
      </c>
      <c r="G850" t="s">
        <v>14</v>
      </c>
      <c r="H850" t="s">
        <v>14</v>
      </c>
      <c r="I850" t="s">
        <v>14</v>
      </c>
      <c r="J850" t="s">
        <v>14</v>
      </c>
    </row>
    <row r="851" spans="1:10" x14ac:dyDescent="0.35">
      <c r="A851" t="s">
        <v>162</v>
      </c>
      <c r="B851" t="s">
        <v>163</v>
      </c>
      <c r="C851" t="s">
        <v>181</v>
      </c>
      <c r="D851">
        <v>2017</v>
      </c>
      <c r="E851">
        <v>61.67</v>
      </c>
      <c r="F851">
        <v>31</v>
      </c>
      <c r="G851" t="s">
        <v>14</v>
      </c>
      <c r="H851" t="s">
        <v>14</v>
      </c>
      <c r="I851" t="s">
        <v>14</v>
      </c>
      <c r="J851" t="s">
        <v>14</v>
      </c>
    </row>
    <row r="852" spans="1:10" x14ac:dyDescent="0.35">
      <c r="A852" t="s">
        <v>162</v>
      </c>
      <c r="B852" t="s">
        <v>163</v>
      </c>
      <c r="C852" t="s">
        <v>181</v>
      </c>
      <c r="D852">
        <v>2018</v>
      </c>
      <c r="E852">
        <v>63.33</v>
      </c>
      <c r="F852">
        <v>32.33</v>
      </c>
      <c r="G852" t="s">
        <v>14</v>
      </c>
      <c r="H852" t="s">
        <v>14</v>
      </c>
      <c r="I852" t="s">
        <v>14</v>
      </c>
      <c r="J852" t="s">
        <v>14</v>
      </c>
    </row>
    <row r="853" spans="1:10" x14ac:dyDescent="0.35">
      <c r="A853" t="s">
        <v>162</v>
      </c>
      <c r="B853" t="s">
        <v>163</v>
      </c>
      <c r="C853" t="s">
        <v>181</v>
      </c>
      <c r="D853">
        <v>2019</v>
      </c>
      <c r="E853">
        <v>64.67</v>
      </c>
      <c r="F853">
        <v>34</v>
      </c>
      <c r="G853" t="s">
        <v>14</v>
      </c>
      <c r="H853" t="s">
        <v>14</v>
      </c>
      <c r="I853" t="s">
        <v>14</v>
      </c>
      <c r="J853" t="s">
        <v>14</v>
      </c>
    </row>
    <row r="854" spans="1:10" x14ac:dyDescent="0.35">
      <c r="A854" t="s">
        <v>162</v>
      </c>
      <c r="B854" t="s">
        <v>163</v>
      </c>
      <c r="C854" t="s">
        <v>181</v>
      </c>
      <c r="D854">
        <v>2020</v>
      </c>
      <c r="E854">
        <v>65</v>
      </c>
      <c r="F854">
        <v>34</v>
      </c>
      <c r="G854" t="s">
        <v>14</v>
      </c>
      <c r="H854" t="s">
        <v>14</v>
      </c>
      <c r="I854" t="s">
        <v>14</v>
      </c>
      <c r="J854" t="s">
        <v>14</v>
      </c>
    </row>
    <row r="855" spans="1:10" x14ac:dyDescent="0.35">
      <c r="A855" t="s">
        <v>162</v>
      </c>
      <c r="B855" t="s">
        <v>163</v>
      </c>
      <c r="C855" t="s">
        <v>182</v>
      </c>
      <c r="D855">
        <v>2015</v>
      </c>
      <c r="E855">
        <v>63.67</v>
      </c>
      <c r="F855">
        <v>31</v>
      </c>
      <c r="G855">
        <v>16.24823</v>
      </c>
      <c r="H855">
        <v>21.25</v>
      </c>
      <c r="I855">
        <v>743390</v>
      </c>
      <c r="J855" t="s">
        <v>14</v>
      </c>
    </row>
    <row r="856" spans="1:10" x14ac:dyDescent="0.35">
      <c r="A856" t="s">
        <v>162</v>
      </c>
      <c r="B856" t="s">
        <v>163</v>
      </c>
      <c r="C856" t="s">
        <v>182</v>
      </c>
      <c r="D856">
        <v>2016</v>
      </c>
      <c r="E856">
        <v>64.33</v>
      </c>
      <c r="F856">
        <v>31</v>
      </c>
      <c r="G856">
        <v>16.767761</v>
      </c>
      <c r="H856">
        <v>20.96</v>
      </c>
      <c r="I856">
        <v>743390</v>
      </c>
      <c r="J856" t="s">
        <v>14</v>
      </c>
    </row>
    <row r="857" spans="1:10" x14ac:dyDescent="0.35">
      <c r="A857" t="s">
        <v>162</v>
      </c>
      <c r="B857" t="s">
        <v>163</v>
      </c>
      <c r="C857" t="s">
        <v>182</v>
      </c>
      <c r="D857">
        <v>2017</v>
      </c>
      <c r="E857">
        <v>64.67</v>
      </c>
      <c r="F857">
        <v>31.67</v>
      </c>
      <c r="G857">
        <v>17.298054</v>
      </c>
      <c r="H857">
        <v>25.87</v>
      </c>
      <c r="I857">
        <v>743390</v>
      </c>
      <c r="J857">
        <v>8.52</v>
      </c>
    </row>
    <row r="858" spans="1:10" x14ac:dyDescent="0.35">
      <c r="A858" t="s">
        <v>162</v>
      </c>
      <c r="B858" t="s">
        <v>163</v>
      </c>
      <c r="C858" t="s">
        <v>182</v>
      </c>
      <c r="D858">
        <v>2018</v>
      </c>
      <c r="E858">
        <v>65.33</v>
      </c>
      <c r="F858">
        <v>32</v>
      </c>
      <c r="G858">
        <v>17.835892999999999</v>
      </c>
      <c r="H858">
        <v>26.31</v>
      </c>
      <c r="I858">
        <v>743390</v>
      </c>
      <c r="J858">
        <v>5.03</v>
      </c>
    </row>
    <row r="859" spans="1:10" x14ac:dyDescent="0.35">
      <c r="A859" t="s">
        <v>162</v>
      </c>
      <c r="B859" t="s">
        <v>163</v>
      </c>
      <c r="C859" t="s">
        <v>182</v>
      </c>
      <c r="D859">
        <v>2019</v>
      </c>
      <c r="E859">
        <v>66.33</v>
      </c>
      <c r="F859">
        <v>32</v>
      </c>
      <c r="G859">
        <v>18.380476999999999</v>
      </c>
      <c r="H859">
        <v>23.31</v>
      </c>
      <c r="I859">
        <v>743390</v>
      </c>
      <c r="J859">
        <v>5.54</v>
      </c>
    </row>
    <row r="860" spans="1:10" x14ac:dyDescent="0.35">
      <c r="A860" t="s">
        <v>162</v>
      </c>
      <c r="B860" t="s">
        <v>163</v>
      </c>
      <c r="C860" t="s">
        <v>182</v>
      </c>
      <c r="D860">
        <v>2020</v>
      </c>
      <c r="E860">
        <v>66.67</v>
      </c>
      <c r="F860">
        <v>32.67</v>
      </c>
      <c r="G860">
        <v>18.927714999999999</v>
      </c>
      <c r="H860">
        <v>18.11</v>
      </c>
      <c r="I860">
        <v>743390</v>
      </c>
      <c r="J860">
        <v>6.03</v>
      </c>
    </row>
    <row r="861" spans="1:10" x14ac:dyDescent="0.35">
      <c r="A861" t="s">
        <v>162</v>
      </c>
      <c r="B861" t="s">
        <v>163</v>
      </c>
      <c r="C861" t="s">
        <v>183</v>
      </c>
      <c r="D861">
        <v>2015</v>
      </c>
      <c r="E861">
        <v>70</v>
      </c>
      <c r="F861">
        <v>40</v>
      </c>
      <c r="G861">
        <v>14.154937</v>
      </c>
      <c r="H861">
        <v>19.96</v>
      </c>
      <c r="I861">
        <v>386850</v>
      </c>
      <c r="J861" t="s">
        <v>14</v>
      </c>
    </row>
    <row r="862" spans="1:10" x14ac:dyDescent="0.35">
      <c r="A862" t="s">
        <v>162</v>
      </c>
      <c r="B862" t="s">
        <v>163</v>
      </c>
      <c r="C862" t="s">
        <v>183</v>
      </c>
      <c r="D862">
        <v>2016</v>
      </c>
      <c r="E862">
        <v>69.33</v>
      </c>
      <c r="F862">
        <v>39.33</v>
      </c>
      <c r="G862">
        <v>14.452704000000001</v>
      </c>
      <c r="H862">
        <v>20.55</v>
      </c>
      <c r="I862">
        <v>386850</v>
      </c>
      <c r="J862" t="s">
        <v>14</v>
      </c>
    </row>
    <row r="863" spans="1:10" x14ac:dyDescent="0.35">
      <c r="A863" t="s">
        <v>162</v>
      </c>
      <c r="B863" t="s">
        <v>163</v>
      </c>
      <c r="C863" t="s">
        <v>183</v>
      </c>
      <c r="D863">
        <v>2017</v>
      </c>
      <c r="E863">
        <v>69</v>
      </c>
      <c r="F863">
        <v>38.67</v>
      </c>
      <c r="G863">
        <v>14.751101</v>
      </c>
      <c r="H863">
        <v>17.579999999999998</v>
      </c>
      <c r="I863">
        <v>386850</v>
      </c>
      <c r="J863" t="s">
        <v>14</v>
      </c>
    </row>
    <row r="864" spans="1:10" x14ac:dyDescent="0.35">
      <c r="A864" t="s">
        <v>162</v>
      </c>
      <c r="B864" t="s">
        <v>163</v>
      </c>
      <c r="C864" t="s">
        <v>183</v>
      </c>
      <c r="D864">
        <v>2018</v>
      </c>
      <c r="E864">
        <v>68.67</v>
      </c>
      <c r="F864">
        <v>37.67</v>
      </c>
      <c r="G864">
        <v>15.052184</v>
      </c>
      <c r="H864">
        <v>34.159999999999997</v>
      </c>
      <c r="I864">
        <v>386850</v>
      </c>
      <c r="J864" t="s">
        <v>14</v>
      </c>
    </row>
    <row r="865" spans="1:10" x14ac:dyDescent="0.35">
      <c r="A865" t="s">
        <v>162</v>
      </c>
      <c r="B865" t="s">
        <v>163</v>
      </c>
      <c r="C865" t="s">
        <v>183</v>
      </c>
      <c r="D865">
        <v>2019</v>
      </c>
      <c r="E865">
        <v>68.33</v>
      </c>
      <c r="F865">
        <v>37</v>
      </c>
      <c r="G865">
        <v>15.354608000000001</v>
      </c>
      <c r="H865">
        <v>21.83</v>
      </c>
      <c r="I865">
        <v>386850</v>
      </c>
      <c r="J865">
        <v>7.37</v>
      </c>
    </row>
    <row r="866" spans="1:10" x14ac:dyDescent="0.35">
      <c r="A866" t="s">
        <v>162</v>
      </c>
      <c r="B866" t="s">
        <v>163</v>
      </c>
      <c r="C866" t="s">
        <v>183</v>
      </c>
      <c r="D866">
        <v>2020</v>
      </c>
      <c r="E866">
        <v>68</v>
      </c>
      <c r="F866">
        <v>36.33</v>
      </c>
      <c r="G866">
        <v>15.669665999999999</v>
      </c>
      <c r="H866">
        <v>21.51</v>
      </c>
      <c r="I866">
        <v>386850</v>
      </c>
      <c r="J866" t="s">
        <v>14</v>
      </c>
    </row>
    <row r="867" spans="1:10" x14ac:dyDescent="0.35">
      <c r="A867" t="s">
        <v>162</v>
      </c>
      <c r="B867" t="s">
        <v>184</v>
      </c>
      <c r="C867" t="s">
        <v>185</v>
      </c>
      <c r="D867">
        <v>2015</v>
      </c>
      <c r="E867">
        <v>50.33</v>
      </c>
      <c r="F867">
        <v>43.33</v>
      </c>
      <c r="G867">
        <v>28.127721000000001</v>
      </c>
      <c r="H867">
        <v>87.22</v>
      </c>
      <c r="I867">
        <v>1246700</v>
      </c>
      <c r="J867" t="s">
        <v>14</v>
      </c>
    </row>
    <row r="868" spans="1:10" x14ac:dyDescent="0.35">
      <c r="A868" t="s">
        <v>162</v>
      </c>
      <c r="B868" t="s">
        <v>184</v>
      </c>
      <c r="C868" t="s">
        <v>185</v>
      </c>
      <c r="D868">
        <v>2016</v>
      </c>
      <c r="E868">
        <v>51</v>
      </c>
      <c r="F868">
        <v>44.67</v>
      </c>
      <c r="G868">
        <v>29.154745999999999</v>
      </c>
      <c r="H868">
        <v>49.84</v>
      </c>
      <c r="I868">
        <v>1246700</v>
      </c>
      <c r="J868" t="s">
        <v>14</v>
      </c>
    </row>
    <row r="869" spans="1:10" x14ac:dyDescent="0.35">
      <c r="A869" t="s">
        <v>162</v>
      </c>
      <c r="B869" t="s">
        <v>184</v>
      </c>
      <c r="C869" t="s">
        <v>185</v>
      </c>
      <c r="D869">
        <v>2017</v>
      </c>
      <c r="E869">
        <v>51.33</v>
      </c>
      <c r="F869">
        <v>45.67</v>
      </c>
      <c r="G869">
        <v>30.208628000000001</v>
      </c>
      <c r="H869">
        <v>68.97</v>
      </c>
      <c r="I869">
        <v>1246700</v>
      </c>
      <c r="J869" t="s">
        <v>14</v>
      </c>
    </row>
    <row r="870" spans="1:10" x14ac:dyDescent="0.35">
      <c r="A870" t="s">
        <v>162</v>
      </c>
      <c r="B870" t="s">
        <v>184</v>
      </c>
      <c r="C870" t="s">
        <v>185</v>
      </c>
      <c r="D870">
        <v>2018</v>
      </c>
      <c r="E870">
        <v>52.33</v>
      </c>
      <c r="F870">
        <v>46.67</v>
      </c>
      <c r="G870">
        <v>31.273533</v>
      </c>
      <c r="H870">
        <v>77.790000000000006</v>
      </c>
      <c r="I870">
        <v>1246700</v>
      </c>
      <c r="J870" t="s">
        <v>14</v>
      </c>
    </row>
    <row r="871" spans="1:10" x14ac:dyDescent="0.35">
      <c r="A871" t="s">
        <v>162</v>
      </c>
      <c r="B871" t="s">
        <v>184</v>
      </c>
      <c r="C871" t="s">
        <v>185</v>
      </c>
      <c r="D871">
        <v>2019</v>
      </c>
      <c r="E871">
        <v>52.33</v>
      </c>
      <c r="F871">
        <v>46.67</v>
      </c>
      <c r="G871">
        <v>32.353588000000002</v>
      </c>
      <c r="H871">
        <v>69.31</v>
      </c>
      <c r="I871">
        <v>1246700</v>
      </c>
      <c r="J871">
        <v>16.5</v>
      </c>
    </row>
    <row r="872" spans="1:10" x14ac:dyDescent="0.35">
      <c r="A872" t="s">
        <v>162</v>
      </c>
      <c r="B872" t="s">
        <v>184</v>
      </c>
      <c r="C872" t="s">
        <v>185</v>
      </c>
      <c r="D872">
        <v>2020</v>
      </c>
      <c r="E872">
        <v>52.33</v>
      </c>
      <c r="F872">
        <v>47</v>
      </c>
      <c r="G872">
        <v>33.428485999999999</v>
      </c>
      <c r="H872">
        <v>53.62</v>
      </c>
      <c r="I872">
        <v>1246700</v>
      </c>
      <c r="J872" t="s">
        <v>14</v>
      </c>
    </row>
    <row r="873" spans="1:10" x14ac:dyDescent="0.35">
      <c r="A873" t="s">
        <v>162</v>
      </c>
      <c r="B873" t="s">
        <v>184</v>
      </c>
      <c r="C873" t="s">
        <v>186</v>
      </c>
      <c r="D873">
        <v>2015</v>
      </c>
      <c r="E873">
        <v>62.67</v>
      </c>
      <c r="F873">
        <v>41.67</v>
      </c>
      <c r="G873">
        <v>23.012646</v>
      </c>
      <c r="H873">
        <v>32.21</v>
      </c>
      <c r="I873">
        <v>472710</v>
      </c>
      <c r="J873" t="s">
        <v>14</v>
      </c>
    </row>
    <row r="874" spans="1:10" x14ac:dyDescent="0.35">
      <c r="A874" t="s">
        <v>162</v>
      </c>
      <c r="B874" t="s">
        <v>184</v>
      </c>
      <c r="C874" t="s">
        <v>186</v>
      </c>
      <c r="D874">
        <v>2016</v>
      </c>
      <c r="E874">
        <v>62.67</v>
      </c>
      <c r="F874">
        <v>41.67</v>
      </c>
      <c r="G874">
        <v>23.71163</v>
      </c>
      <c r="H874">
        <v>33.81</v>
      </c>
      <c r="I874">
        <v>472710</v>
      </c>
      <c r="J874" t="s">
        <v>14</v>
      </c>
    </row>
    <row r="875" spans="1:10" x14ac:dyDescent="0.35">
      <c r="A875" t="s">
        <v>162</v>
      </c>
      <c r="B875" t="s">
        <v>184</v>
      </c>
      <c r="C875" t="s">
        <v>186</v>
      </c>
      <c r="D875">
        <v>2017</v>
      </c>
      <c r="E875">
        <v>63.33</v>
      </c>
      <c r="F875">
        <v>42</v>
      </c>
      <c r="G875">
        <v>24.393180999999998</v>
      </c>
      <c r="H875">
        <v>36.1</v>
      </c>
      <c r="I875">
        <v>472710</v>
      </c>
      <c r="J875" t="s">
        <v>14</v>
      </c>
    </row>
    <row r="876" spans="1:10" x14ac:dyDescent="0.35">
      <c r="A876" t="s">
        <v>162</v>
      </c>
      <c r="B876" t="s">
        <v>184</v>
      </c>
      <c r="C876" t="s">
        <v>186</v>
      </c>
      <c r="D876">
        <v>2018</v>
      </c>
      <c r="E876">
        <v>63.33</v>
      </c>
      <c r="F876">
        <v>42.33</v>
      </c>
      <c r="G876">
        <v>25.076747000000001</v>
      </c>
      <c r="H876">
        <v>39.97</v>
      </c>
      <c r="I876">
        <v>472710</v>
      </c>
      <c r="J876" t="s">
        <v>14</v>
      </c>
    </row>
    <row r="877" spans="1:10" x14ac:dyDescent="0.35">
      <c r="A877" t="s">
        <v>162</v>
      </c>
      <c r="B877" t="s">
        <v>184</v>
      </c>
      <c r="C877" t="s">
        <v>186</v>
      </c>
      <c r="D877">
        <v>2019</v>
      </c>
      <c r="E877">
        <v>63.33</v>
      </c>
      <c r="F877">
        <v>42.33</v>
      </c>
      <c r="G877">
        <v>25.782340999999999</v>
      </c>
      <c r="H877">
        <v>39.67</v>
      </c>
      <c r="I877">
        <v>472710</v>
      </c>
      <c r="J877" t="s">
        <v>14</v>
      </c>
    </row>
    <row r="878" spans="1:10" x14ac:dyDescent="0.35">
      <c r="A878" t="s">
        <v>162</v>
      </c>
      <c r="B878" t="s">
        <v>184</v>
      </c>
      <c r="C878" t="s">
        <v>186</v>
      </c>
      <c r="D878">
        <v>2020</v>
      </c>
      <c r="E878">
        <v>64</v>
      </c>
      <c r="F878">
        <v>43</v>
      </c>
      <c r="G878">
        <v>26.491087</v>
      </c>
      <c r="H878">
        <v>40.770000000000003</v>
      </c>
      <c r="I878">
        <v>472710</v>
      </c>
      <c r="J878" t="s">
        <v>14</v>
      </c>
    </row>
    <row r="879" spans="1:10" x14ac:dyDescent="0.35">
      <c r="A879" t="s">
        <v>162</v>
      </c>
      <c r="B879" t="s">
        <v>184</v>
      </c>
      <c r="C879" t="s">
        <v>187</v>
      </c>
      <c r="D879">
        <v>2015</v>
      </c>
      <c r="E879">
        <v>44</v>
      </c>
      <c r="F879">
        <v>17.329999999999998</v>
      </c>
      <c r="G879">
        <v>4.8193330000000003</v>
      </c>
      <c r="H879">
        <v>1.7</v>
      </c>
      <c r="I879">
        <v>622980</v>
      </c>
      <c r="J879" t="s">
        <v>14</v>
      </c>
    </row>
    <row r="880" spans="1:10" x14ac:dyDescent="0.35">
      <c r="A880" t="s">
        <v>162</v>
      </c>
      <c r="B880" t="s">
        <v>184</v>
      </c>
      <c r="C880" t="s">
        <v>187</v>
      </c>
      <c r="D880">
        <v>2016</v>
      </c>
      <c r="E880">
        <v>42.67</v>
      </c>
      <c r="F880">
        <v>17</v>
      </c>
      <c r="G880">
        <v>4.9041769999999998</v>
      </c>
      <c r="H880">
        <v>1.83</v>
      </c>
      <c r="I880">
        <v>622980</v>
      </c>
      <c r="J880" t="s">
        <v>14</v>
      </c>
    </row>
    <row r="881" spans="1:10" x14ac:dyDescent="0.35">
      <c r="A881" t="s">
        <v>162</v>
      </c>
      <c r="B881" t="s">
        <v>184</v>
      </c>
      <c r="C881" t="s">
        <v>187</v>
      </c>
      <c r="D881">
        <v>2017</v>
      </c>
      <c r="E881">
        <v>41.33</v>
      </c>
      <c r="F881">
        <v>16.670000000000002</v>
      </c>
      <c r="G881">
        <v>4.9967410000000001</v>
      </c>
      <c r="H881">
        <v>2.0699999999999998</v>
      </c>
      <c r="I881">
        <v>622980</v>
      </c>
      <c r="J881" t="s">
        <v>14</v>
      </c>
    </row>
    <row r="882" spans="1:10" x14ac:dyDescent="0.35">
      <c r="A882" t="s">
        <v>162</v>
      </c>
      <c r="B882" t="s">
        <v>184</v>
      </c>
      <c r="C882" t="s">
        <v>187</v>
      </c>
      <c r="D882">
        <v>2018</v>
      </c>
      <c r="E882">
        <v>40.67</v>
      </c>
      <c r="F882">
        <v>16</v>
      </c>
      <c r="G882">
        <v>5.0947800000000001</v>
      </c>
      <c r="H882">
        <v>2.2200000000000002</v>
      </c>
      <c r="I882">
        <v>622980</v>
      </c>
      <c r="J882" t="s">
        <v>14</v>
      </c>
    </row>
    <row r="883" spans="1:10" x14ac:dyDescent="0.35">
      <c r="A883" t="s">
        <v>162</v>
      </c>
      <c r="B883" t="s">
        <v>184</v>
      </c>
      <c r="C883" t="s">
        <v>187</v>
      </c>
      <c r="D883">
        <v>2019</v>
      </c>
      <c r="E883">
        <v>39.33</v>
      </c>
      <c r="F883">
        <v>15.33</v>
      </c>
      <c r="G883">
        <v>5.2093239999999996</v>
      </c>
      <c r="H883">
        <v>2.2200000000000002</v>
      </c>
      <c r="I883">
        <v>622980</v>
      </c>
      <c r="J883" t="s">
        <v>14</v>
      </c>
    </row>
    <row r="884" spans="1:10" x14ac:dyDescent="0.35">
      <c r="A884" t="s">
        <v>162</v>
      </c>
      <c r="B884" t="s">
        <v>184</v>
      </c>
      <c r="C884" t="s">
        <v>187</v>
      </c>
      <c r="D884">
        <v>2020</v>
      </c>
      <c r="E884">
        <v>38.33</v>
      </c>
      <c r="F884">
        <v>15</v>
      </c>
      <c r="G884">
        <v>5.3430200000000001</v>
      </c>
      <c r="H884">
        <v>2.33</v>
      </c>
      <c r="I884">
        <v>622980</v>
      </c>
      <c r="J884" t="s">
        <v>14</v>
      </c>
    </row>
    <row r="885" spans="1:10" x14ac:dyDescent="0.35">
      <c r="A885" t="s">
        <v>162</v>
      </c>
      <c r="B885" t="s">
        <v>184</v>
      </c>
      <c r="C885" t="s">
        <v>188</v>
      </c>
      <c r="D885">
        <v>2015</v>
      </c>
      <c r="E885">
        <v>51.67</v>
      </c>
      <c r="F885">
        <v>16.329999999999998</v>
      </c>
      <c r="G885">
        <v>14.140274</v>
      </c>
      <c r="H885">
        <v>10.95</v>
      </c>
      <c r="I885">
        <v>1259200</v>
      </c>
      <c r="J885" t="s">
        <v>14</v>
      </c>
    </row>
    <row r="886" spans="1:10" x14ac:dyDescent="0.35">
      <c r="A886" t="s">
        <v>162</v>
      </c>
      <c r="B886" t="s">
        <v>184</v>
      </c>
      <c r="C886" t="s">
        <v>188</v>
      </c>
      <c r="D886">
        <v>2016</v>
      </c>
      <c r="E886">
        <v>52</v>
      </c>
      <c r="F886">
        <v>16.670000000000002</v>
      </c>
      <c r="G886">
        <v>14.592585</v>
      </c>
      <c r="H886">
        <v>10.1</v>
      </c>
      <c r="I886">
        <v>1259200</v>
      </c>
      <c r="J886" t="s">
        <v>14</v>
      </c>
    </row>
    <row r="887" spans="1:10" x14ac:dyDescent="0.35">
      <c r="A887" t="s">
        <v>162</v>
      </c>
      <c r="B887" t="s">
        <v>184</v>
      </c>
      <c r="C887" t="s">
        <v>188</v>
      </c>
      <c r="D887">
        <v>2017</v>
      </c>
      <c r="E887">
        <v>52</v>
      </c>
      <c r="F887">
        <v>17</v>
      </c>
      <c r="G887">
        <v>15.085884</v>
      </c>
      <c r="H887">
        <v>10</v>
      </c>
      <c r="I887">
        <v>1259200</v>
      </c>
      <c r="J887" t="s">
        <v>14</v>
      </c>
    </row>
    <row r="888" spans="1:10" x14ac:dyDescent="0.35">
      <c r="A888" t="s">
        <v>162</v>
      </c>
      <c r="B888" t="s">
        <v>184</v>
      </c>
      <c r="C888" t="s">
        <v>188</v>
      </c>
      <c r="D888">
        <v>2018</v>
      </c>
      <c r="E888">
        <v>52</v>
      </c>
      <c r="F888">
        <v>17.670000000000002</v>
      </c>
      <c r="G888">
        <v>15.60421</v>
      </c>
      <c r="H888">
        <v>11.24</v>
      </c>
      <c r="I888">
        <v>1259200</v>
      </c>
      <c r="J888">
        <v>1.1299999999999999</v>
      </c>
    </row>
    <row r="889" spans="1:10" x14ac:dyDescent="0.35">
      <c r="A889" t="s">
        <v>162</v>
      </c>
      <c r="B889" t="s">
        <v>184</v>
      </c>
      <c r="C889" t="s">
        <v>188</v>
      </c>
      <c r="D889">
        <v>2019</v>
      </c>
      <c r="E889">
        <v>52.33</v>
      </c>
      <c r="F889">
        <v>18.329999999999998</v>
      </c>
      <c r="G889">
        <v>16.126866</v>
      </c>
      <c r="H889">
        <v>11.31</v>
      </c>
      <c r="I889">
        <v>1259200</v>
      </c>
      <c r="J889" t="s">
        <v>14</v>
      </c>
    </row>
    <row r="890" spans="1:10" x14ac:dyDescent="0.35">
      <c r="A890" t="s">
        <v>162</v>
      </c>
      <c r="B890" t="s">
        <v>184</v>
      </c>
      <c r="C890" t="s">
        <v>188</v>
      </c>
      <c r="D890">
        <v>2020</v>
      </c>
      <c r="E890">
        <v>52.67</v>
      </c>
      <c r="F890">
        <v>18.670000000000002</v>
      </c>
      <c r="G890">
        <v>16.644701000000001</v>
      </c>
      <c r="H890">
        <v>10.72</v>
      </c>
      <c r="I890">
        <v>1259200</v>
      </c>
      <c r="J890" t="s">
        <v>14</v>
      </c>
    </row>
    <row r="891" spans="1:10" x14ac:dyDescent="0.35">
      <c r="A891" t="s">
        <v>162</v>
      </c>
      <c r="B891" t="s">
        <v>184</v>
      </c>
      <c r="C891" t="s">
        <v>189</v>
      </c>
      <c r="D891">
        <v>2015</v>
      </c>
      <c r="E891">
        <v>66.33</v>
      </c>
      <c r="F891">
        <v>17</v>
      </c>
      <c r="G891" t="s">
        <v>14</v>
      </c>
      <c r="H891" t="s">
        <v>14</v>
      </c>
      <c r="I891" t="s">
        <v>14</v>
      </c>
      <c r="J891" t="s">
        <v>14</v>
      </c>
    </row>
    <row r="892" spans="1:10" x14ac:dyDescent="0.35">
      <c r="A892" t="s">
        <v>162</v>
      </c>
      <c r="B892" t="s">
        <v>184</v>
      </c>
      <c r="C892" t="s">
        <v>189</v>
      </c>
      <c r="D892">
        <v>2016</v>
      </c>
      <c r="E892">
        <v>67.67</v>
      </c>
      <c r="F892">
        <v>17.329999999999998</v>
      </c>
      <c r="G892" t="s">
        <v>14</v>
      </c>
      <c r="H892" t="s">
        <v>14</v>
      </c>
      <c r="I892" t="s">
        <v>14</v>
      </c>
      <c r="J892" t="s">
        <v>14</v>
      </c>
    </row>
    <row r="893" spans="1:10" x14ac:dyDescent="0.35">
      <c r="A893" t="s">
        <v>162</v>
      </c>
      <c r="B893" t="s">
        <v>184</v>
      </c>
      <c r="C893" t="s">
        <v>189</v>
      </c>
      <c r="D893">
        <v>2017</v>
      </c>
      <c r="E893">
        <v>68.67</v>
      </c>
      <c r="F893">
        <v>17.670000000000002</v>
      </c>
      <c r="G893" t="s">
        <v>14</v>
      </c>
      <c r="H893" t="s">
        <v>14</v>
      </c>
      <c r="I893" t="s">
        <v>14</v>
      </c>
      <c r="J893" t="s">
        <v>14</v>
      </c>
    </row>
    <row r="894" spans="1:10" x14ac:dyDescent="0.35">
      <c r="A894" t="s">
        <v>162</v>
      </c>
      <c r="B894" t="s">
        <v>184</v>
      </c>
      <c r="C894" t="s">
        <v>189</v>
      </c>
      <c r="D894">
        <v>2018</v>
      </c>
      <c r="E894">
        <v>68.67</v>
      </c>
      <c r="F894">
        <v>17.670000000000002</v>
      </c>
      <c r="G894" t="s">
        <v>14</v>
      </c>
      <c r="H894" t="s">
        <v>14</v>
      </c>
      <c r="I894" t="s">
        <v>14</v>
      </c>
      <c r="J894" t="s">
        <v>14</v>
      </c>
    </row>
    <row r="895" spans="1:10" x14ac:dyDescent="0.35">
      <c r="A895" t="s">
        <v>162</v>
      </c>
      <c r="B895" t="s">
        <v>184</v>
      </c>
      <c r="C895" t="s">
        <v>189</v>
      </c>
      <c r="D895">
        <v>2019</v>
      </c>
      <c r="E895">
        <v>69</v>
      </c>
      <c r="F895">
        <v>17.670000000000002</v>
      </c>
      <c r="G895" t="s">
        <v>14</v>
      </c>
      <c r="H895" t="s">
        <v>14</v>
      </c>
      <c r="I895" t="s">
        <v>14</v>
      </c>
      <c r="J895" t="s">
        <v>14</v>
      </c>
    </row>
    <row r="896" spans="1:10" x14ac:dyDescent="0.35">
      <c r="A896" t="s">
        <v>162</v>
      </c>
      <c r="B896" t="s">
        <v>184</v>
      </c>
      <c r="C896" t="s">
        <v>189</v>
      </c>
      <c r="D896">
        <v>2020</v>
      </c>
      <c r="E896">
        <v>69</v>
      </c>
      <c r="F896">
        <v>17.670000000000002</v>
      </c>
      <c r="G896" t="s">
        <v>14</v>
      </c>
      <c r="H896" t="s">
        <v>14</v>
      </c>
      <c r="I896" t="s">
        <v>14</v>
      </c>
      <c r="J896" t="s">
        <v>14</v>
      </c>
    </row>
    <row r="897" spans="1:10" x14ac:dyDescent="0.35">
      <c r="A897" t="s">
        <v>162</v>
      </c>
      <c r="B897" t="s">
        <v>184</v>
      </c>
      <c r="C897" t="s">
        <v>190</v>
      </c>
      <c r="D897">
        <v>2015</v>
      </c>
      <c r="E897">
        <v>45.33</v>
      </c>
      <c r="F897">
        <v>17.670000000000002</v>
      </c>
      <c r="G897" t="s">
        <v>14</v>
      </c>
      <c r="H897" t="s">
        <v>14</v>
      </c>
      <c r="I897" t="s">
        <v>14</v>
      </c>
      <c r="J897" t="s">
        <v>14</v>
      </c>
    </row>
    <row r="898" spans="1:10" x14ac:dyDescent="0.35">
      <c r="A898" t="s">
        <v>162</v>
      </c>
      <c r="B898" t="s">
        <v>184</v>
      </c>
      <c r="C898" t="s">
        <v>190</v>
      </c>
      <c r="D898">
        <v>2016</v>
      </c>
      <c r="E898">
        <v>45.67</v>
      </c>
      <c r="F898">
        <v>17.329999999999998</v>
      </c>
      <c r="G898" t="s">
        <v>14</v>
      </c>
      <c r="H898" t="s">
        <v>14</v>
      </c>
      <c r="I898" t="s">
        <v>14</v>
      </c>
      <c r="J898" t="s">
        <v>14</v>
      </c>
    </row>
    <row r="899" spans="1:10" x14ac:dyDescent="0.35">
      <c r="A899" t="s">
        <v>162</v>
      </c>
      <c r="B899" t="s">
        <v>184</v>
      </c>
      <c r="C899" t="s">
        <v>190</v>
      </c>
      <c r="D899">
        <v>2017</v>
      </c>
      <c r="E899">
        <v>46</v>
      </c>
      <c r="F899">
        <v>17</v>
      </c>
      <c r="G899" t="s">
        <v>14</v>
      </c>
      <c r="H899" t="s">
        <v>14</v>
      </c>
      <c r="I899" t="s">
        <v>14</v>
      </c>
      <c r="J899" t="s">
        <v>14</v>
      </c>
    </row>
    <row r="900" spans="1:10" x14ac:dyDescent="0.35">
      <c r="A900" t="s">
        <v>162</v>
      </c>
      <c r="B900" t="s">
        <v>184</v>
      </c>
      <c r="C900" t="s">
        <v>190</v>
      </c>
      <c r="D900">
        <v>2018</v>
      </c>
      <c r="E900">
        <v>46.67</v>
      </c>
      <c r="F900">
        <v>16.329999999999998</v>
      </c>
      <c r="G900" t="s">
        <v>14</v>
      </c>
      <c r="H900" t="s">
        <v>14</v>
      </c>
      <c r="I900" t="s">
        <v>14</v>
      </c>
      <c r="J900" t="s">
        <v>14</v>
      </c>
    </row>
    <row r="901" spans="1:10" x14ac:dyDescent="0.35">
      <c r="A901" t="s">
        <v>162</v>
      </c>
      <c r="B901" t="s">
        <v>184</v>
      </c>
      <c r="C901" t="s">
        <v>190</v>
      </c>
      <c r="D901">
        <v>2019</v>
      </c>
      <c r="E901">
        <v>47</v>
      </c>
      <c r="F901">
        <v>16.329999999999998</v>
      </c>
      <c r="G901" t="s">
        <v>14</v>
      </c>
      <c r="H901" t="s">
        <v>14</v>
      </c>
      <c r="I901" t="s">
        <v>14</v>
      </c>
      <c r="J901" t="s">
        <v>14</v>
      </c>
    </row>
    <row r="902" spans="1:10" x14ac:dyDescent="0.35">
      <c r="A902" t="s">
        <v>162</v>
      </c>
      <c r="B902" t="s">
        <v>184</v>
      </c>
      <c r="C902" t="s">
        <v>190</v>
      </c>
      <c r="D902">
        <v>2020</v>
      </c>
      <c r="E902">
        <v>47.67</v>
      </c>
      <c r="F902">
        <v>15.33</v>
      </c>
      <c r="G902" t="s">
        <v>14</v>
      </c>
      <c r="H902" t="s">
        <v>14</v>
      </c>
      <c r="I902" t="s">
        <v>14</v>
      </c>
      <c r="J902" t="s">
        <v>14</v>
      </c>
    </row>
    <row r="903" spans="1:10" x14ac:dyDescent="0.35">
      <c r="A903" t="s">
        <v>162</v>
      </c>
      <c r="B903" t="s">
        <v>184</v>
      </c>
      <c r="C903" t="s">
        <v>191</v>
      </c>
      <c r="D903">
        <v>2015</v>
      </c>
      <c r="E903">
        <v>57.67</v>
      </c>
      <c r="F903">
        <v>64.33</v>
      </c>
      <c r="G903">
        <v>1.346973</v>
      </c>
      <c r="H903">
        <v>13.19</v>
      </c>
      <c r="I903">
        <v>28050</v>
      </c>
      <c r="J903" t="s">
        <v>14</v>
      </c>
    </row>
    <row r="904" spans="1:10" x14ac:dyDescent="0.35">
      <c r="A904" t="s">
        <v>162</v>
      </c>
      <c r="B904" t="s">
        <v>184</v>
      </c>
      <c r="C904" t="s">
        <v>191</v>
      </c>
      <c r="D904">
        <v>2016</v>
      </c>
      <c r="E904">
        <v>57.67</v>
      </c>
      <c r="F904">
        <v>64.33</v>
      </c>
      <c r="G904">
        <v>1.398927</v>
      </c>
      <c r="H904">
        <v>11.24</v>
      </c>
      <c r="I904">
        <v>28050</v>
      </c>
      <c r="J904" t="s">
        <v>14</v>
      </c>
    </row>
    <row r="905" spans="1:10" x14ac:dyDescent="0.35">
      <c r="A905" t="s">
        <v>162</v>
      </c>
      <c r="B905" t="s">
        <v>184</v>
      </c>
      <c r="C905" t="s">
        <v>191</v>
      </c>
      <c r="D905">
        <v>2017</v>
      </c>
      <c r="E905">
        <v>58</v>
      </c>
      <c r="F905">
        <v>64.33</v>
      </c>
      <c r="G905">
        <v>1.4506939999999999</v>
      </c>
      <c r="H905">
        <v>12.2</v>
      </c>
      <c r="I905">
        <v>28050</v>
      </c>
      <c r="J905" t="s">
        <v>14</v>
      </c>
    </row>
    <row r="906" spans="1:10" x14ac:dyDescent="0.35">
      <c r="A906" t="s">
        <v>162</v>
      </c>
      <c r="B906" t="s">
        <v>184</v>
      </c>
      <c r="C906" t="s">
        <v>192</v>
      </c>
      <c r="D906">
        <v>2015</v>
      </c>
      <c r="E906">
        <v>72</v>
      </c>
      <c r="F906">
        <v>46.33</v>
      </c>
      <c r="G906">
        <v>2.0285169999999999</v>
      </c>
      <c r="H906">
        <v>14.38</v>
      </c>
      <c r="I906">
        <v>257670</v>
      </c>
      <c r="J906" t="s">
        <v>14</v>
      </c>
    </row>
    <row r="907" spans="1:10" x14ac:dyDescent="0.35">
      <c r="A907" t="s">
        <v>162</v>
      </c>
      <c r="B907" t="s">
        <v>184</v>
      </c>
      <c r="C907" t="s">
        <v>192</v>
      </c>
      <c r="D907">
        <v>2016</v>
      </c>
      <c r="E907">
        <v>72.33</v>
      </c>
      <c r="F907">
        <v>46.33</v>
      </c>
      <c r="G907">
        <v>2.0862059999999998</v>
      </c>
      <c r="H907">
        <v>14.02</v>
      </c>
      <c r="I907">
        <v>257670</v>
      </c>
      <c r="J907" t="s">
        <v>14</v>
      </c>
    </row>
    <row r="908" spans="1:10" x14ac:dyDescent="0.35">
      <c r="A908" t="s">
        <v>162</v>
      </c>
      <c r="B908" t="s">
        <v>184</v>
      </c>
      <c r="C908" t="s">
        <v>192</v>
      </c>
      <c r="D908">
        <v>2017</v>
      </c>
      <c r="E908">
        <v>73</v>
      </c>
      <c r="F908">
        <v>46.33</v>
      </c>
      <c r="G908">
        <v>2.140215</v>
      </c>
      <c r="H908">
        <v>14.93</v>
      </c>
      <c r="I908">
        <v>257670</v>
      </c>
      <c r="J908" t="s">
        <v>14</v>
      </c>
    </row>
    <row r="909" spans="1:10" x14ac:dyDescent="0.35">
      <c r="A909" t="s">
        <v>162</v>
      </c>
      <c r="B909" t="s">
        <v>184</v>
      </c>
      <c r="C909" t="s">
        <v>192</v>
      </c>
      <c r="D909">
        <v>2018</v>
      </c>
      <c r="E909">
        <v>73</v>
      </c>
      <c r="F909">
        <v>46.67</v>
      </c>
      <c r="G909">
        <v>2.1920120000000001</v>
      </c>
      <c r="H909">
        <v>16.87</v>
      </c>
      <c r="I909">
        <v>257670</v>
      </c>
      <c r="J909" t="s">
        <v>14</v>
      </c>
    </row>
    <row r="910" spans="1:10" x14ac:dyDescent="0.35">
      <c r="A910" t="s">
        <v>162</v>
      </c>
      <c r="B910" t="s">
        <v>184</v>
      </c>
      <c r="C910" t="s">
        <v>192</v>
      </c>
      <c r="D910">
        <v>2019</v>
      </c>
      <c r="E910">
        <v>73.33</v>
      </c>
      <c r="F910">
        <v>47</v>
      </c>
      <c r="G910">
        <v>2.242785</v>
      </c>
      <c r="H910">
        <v>16.87</v>
      </c>
      <c r="I910">
        <v>257670</v>
      </c>
      <c r="J910" t="s">
        <v>14</v>
      </c>
    </row>
    <row r="911" spans="1:10" x14ac:dyDescent="0.35">
      <c r="A911" t="s">
        <v>162</v>
      </c>
      <c r="B911" t="s">
        <v>184</v>
      </c>
      <c r="C911" t="s">
        <v>192</v>
      </c>
      <c r="D911">
        <v>2020</v>
      </c>
      <c r="E911">
        <v>73.33</v>
      </c>
      <c r="F911">
        <v>47</v>
      </c>
      <c r="G911">
        <v>2.292573</v>
      </c>
      <c r="H911">
        <v>15.31</v>
      </c>
      <c r="I911">
        <v>257670</v>
      </c>
      <c r="J911" t="s">
        <v>14</v>
      </c>
    </row>
    <row r="912" spans="1:10" x14ac:dyDescent="0.35">
      <c r="A912" t="s">
        <v>162</v>
      </c>
      <c r="B912" t="s">
        <v>184</v>
      </c>
      <c r="C912" t="s">
        <v>193</v>
      </c>
      <c r="D912">
        <v>2015</v>
      </c>
      <c r="E912">
        <v>76</v>
      </c>
      <c r="F912">
        <v>39</v>
      </c>
      <c r="G912">
        <v>0.201124</v>
      </c>
      <c r="H912">
        <v>0.32</v>
      </c>
      <c r="I912">
        <v>960</v>
      </c>
      <c r="J912" t="s">
        <v>14</v>
      </c>
    </row>
    <row r="913" spans="1:10" x14ac:dyDescent="0.35">
      <c r="A913" t="s">
        <v>162</v>
      </c>
      <c r="B913" t="s">
        <v>184</v>
      </c>
      <c r="C913" t="s">
        <v>193</v>
      </c>
      <c r="D913">
        <v>2016</v>
      </c>
      <c r="E913">
        <v>76.67</v>
      </c>
      <c r="F913">
        <v>40.33</v>
      </c>
      <c r="G913">
        <v>0.20463200000000001</v>
      </c>
      <c r="H913">
        <v>0.35</v>
      </c>
      <c r="I913">
        <v>960</v>
      </c>
      <c r="J913" t="s">
        <v>14</v>
      </c>
    </row>
    <row r="914" spans="1:10" x14ac:dyDescent="0.35">
      <c r="A914" t="s">
        <v>162</v>
      </c>
      <c r="B914" t="s">
        <v>184</v>
      </c>
      <c r="C914" t="s">
        <v>193</v>
      </c>
      <c r="D914">
        <v>2017</v>
      </c>
      <c r="E914">
        <v>77</v>
      </c>
      <c r="F914">
        <v>41.33</v>
      </c>
      <c r="G914">
        <v>0.208036</v>
      </c>
      <c r="H914">
        <v>0.38</v>
      </c>
      <c r="I914">
        <v>960</v>
      </c>
      <c r="J914" t="s">
        <v>14</v>
      </c>
    </row>
    <row r="915" spans="1:10" x14ac:dyDescent="0.35">
      <c r="A915" t="s">
        <v>162</v>
      </c>
      <c r="B915" t="s">
        <v>184</v>
      </c>
      <c r="C915" t="s">
        <v>193</v>
      </c>
      <c r="D915">
        <v>2018</v>
      </c>
      <c r="E915">
        <v>77</v>
      </c>
      <c r="F915">
        <v>42.67</v>
      </c>
      <c r="G915">
        <v>0.211344</v>
      </c>
      <c r="H915">
        <v>0.41</v>
      </c>
      <c r="I915">
        <v>960</v>
      </c>
      <c r="J915" t="s">
        <v>14</v>
      </c>
    </row>
    <row r="916" spans="1:10" x14ac:dyDescent="0.35">
      <c r="A916" t="s">
        <v>162</v>
      </c>
      <c r="B916" t="s">
        <v>184</v>
      </c>
      <c r="C916" t="s">
        <v>193</v>
      </c>
      <c r="D916">
        <v>2019</v>
      </c>
      <c r="E916">
        <v>77.33</v>
      </c>
      <c r="F916">
        <v>44.33</v>
      </c>
      <c r="G916">
        <v>0.21459900000000001</v>
      </c>
      <c r="H916">
        <v>0.43</v>
      </c>
      <c r="I916">
        <v>960</v>
      </c>
      <c r="J916" t="s">
        <v>14</v>
      </c>
    </row>
    <row r="917" spans="1:10" x14ac:dyDescent="0.35">
      <c r="A917" t="s">
        <v>162</v>
      </c>
      <c r="B917" t="s">
        <v>184</v>
      </c>
      <c r="C917" t="s">
        <v>193</v>
      </c>
      <c r="D917">
        <v>2020</v>
      </c>
      <c r="E917">
        <v>77.33</v>
      </c>
      <c r="F917">
        <v>46</v>
      </c>
      <c r="G917">
        <v>0.218641</v>
      </c>
      <c r="H917">
        <v>0.47</v>
      </c>
      <c r="I917">
        <v>960</v>
      </c>
      <c r="J917" t="s">
        <v>14</v>
      </c>
    </row>
    <row r="918" spans="1:10" x14ac:dyDescent="0.35">
      <c r="A918" t="s">
        <v>162</v>
      </c>
      <c r="B918" t="s">
        <v>194</v>
      </c>
      <c r="C918" t="s">
        <v>195</v>
      </c>
      <c r="D918">
        <v>2015</v>
      </c>
      <c r="E918">
        <v>85.67</v>
      </c>
      <c r="F918">
        <v>70.33</v>
      </c>
      <c r="G918">
        <v>2.3051710000000001</v>
      </c>
      <c r="H918">
        <v>13.53</v>
      </c>
      <c r="I918">
        <v>566730</v>
      </c>
      <c r="J918" t="s">
        <v>14</v>
      </c>
    </row>
    <row r="919" spans="1:10" x14ac:dyDescent="0.35">
      <c r="A919" t="s">
        <v>162</v>
      </c>
      <c r="B919" t="s">
        <v>194</v>
      </c>
      <c r="C919" t="s">
        <v>195</v>
      </c>
      <c r="D919">
        <v>2016</v>
      </c>
      <c r="E919">
        <v>86.67</v>
      </c>
      <c r="F919">
        <v>71.33</v>
      </c>
      <c r="G919">
        <v>2.3524159999999998</v>
      </c>
      <c r="H919">
        <v>15.08</v>
      </c>
      <c r="I919">
        <v>566730</v>
      </c>
      <c r="J919" t="s">
        <v>14</v>
      </c>
    </row>
    <row r="920" spans="1:10" x14ac:dyDescent="0.35">
      <c r="A920" t="s">
        <v>162</v>
      </c>
      <c r="B920" t="s">
        <v>194</v>
      </c>
      <c r="C920" t="s">
        <v>195</v>
      </c>
      <c r="D920">
        <v>2017</v>
      </c>
      <c r="E920">
        <v>87.67</v>
      </c>
      <c r="F920">
        <v>72.33</v>
      </c>
      <c r="G920">
        <v>2.40184</v>
      </c>
      <c r="H920">
        <v>16.11</v>
      </c>
      <c r="I920">
        <v>566730</v>
      </c>
      <c r="J920" t="s">
        <v>14</v>
      </c>
    </row>
    <row r="921" spans="1:10" x14ac:dyDescent="0.35">
      <c r="A921" t="s">
        <v>162</v>
      </c>
      <c r="B921" t="s">
        <v>194</v>
      </c>
      <c r="C921" t="s">
        <v>195</v>
      </c>
      <c r="D921">
        <v>2018</v>
      </c>
      <c r="E921">
        <v>88.33</v>
      </c>
      <c r="F921">
        <v>73.67</v>
      </c>
      <c r="G921">
        <v>2.4514089999999999</v>
      </c>
      <c r="H921">
        <v>17.03</v>
      </c>
      <c r="I921">
        <v>566730</v>
      </c>
      <c r="J921" t="s">
        <v>14</v>
      </c>
    </row>
    <row r="922" spans="1:10" x14ac:dyDescent="0.35">
      <c r="A922" t="s">
        <v>162</v>
      </c>
      <c r="B922" t="s">
        <v>194</v>
      </c>
      <c r="C922" t="s">
        <v>195</v>
      </c>
      <c r="D922">
        <v>2019</v>
      </c>
      <c r="E922">
        <v>89.67</v>
      </c>
      <c r="F922">
        <v>74.33</v>
      </c>
      <c r="G922">
        <v>2.4997020000000001</v>
      </c>
      <c r="H922">
        <v>16.7</v>
      </c>
      <c r="I922">
        <v>566730</v>
      </c>
      <c r="J922">
        <v>20.09</v>
      </c>
    </row>
    <row r="923" spans="1:10" x14ac:dyDescent="0.35">
      <c r="A923" t="s">
        <v>162</v>
      </c>
      <c r="B923" t="s">
        <v>194</v>
      </c>
      <c r="C923" t="s">
        <v>195</v>
      </c>
      <c r="D923">
        <v>2020</v>
      </c>
      <c r="E923">
        <v>89.67</v>
      </c>
      <c r="F923">
        <v>74.33</v>
      </c>
      <c r="G923">
        <v>2.5464020000000001</v>
      </c>
      <c r="H923">
        <v>14.93</v>
      </c>
      <c r="I923">
        <v>566730</v>
      </c>
      <c r="J923">
        <v>21.02</v>
      </c>
    </row>
    <row r="924" spans="1:10" x14ac:dyDescent="0.35">
      <c r="A924" t="s">
        <v>162</v>
      </c>
      <c r="B924" t="s">
        <v>194</v>
      </c>
      <c r="C924" t="s">
        <v>196</v>
      </c>
      <c r="D924">
        <v>2015</v>
      </c>
      <c r="E924">
        <v>73.33</v>
      </c>
      <c r="F924">
        <v>59.33</v>
      </c>
      <c r="G924">
        <v>1.1339360000000001</v>
      </c>
      <c r="H924">
        <v>4.0599999999999996</v>
      </c>
      <c r="I924">
        <v>17200</v>
      </c>
      <c r="J924" t="s">
        <v>14</v>
      </c>
    </row>
    <row r="925" spans="1:10" x14ac:dyDescent="0.35">
      <c r="A925" t="s">
        <v>162</v>
      </c>
      <c r="B925" t="s">
        <v>194</v>
      </c>
      <c r="C925" t="s">
        <v>196</v>
      </c>
      <c r="D925">
        <v>2016</v>
      </c>
      <c r="E925">
        <v>74</v>
      </c>
      <c r="F925">
        <v>60</v>
      </c>
      <c r="G925">
        <v>1.1425240000000001</v>
      </c>
      <c r="H925">
        <v>3.82</v>
      </c>
      <c r="I925">
        <v>17200</v>
      </c>
      <c r="J925">
        <v>22.72</v>
      </c>
    </row>
    <row r="926" spans="1:10" x14ac:dyDescent="0.35">
      <c r="A926" t="s">
        <v>162</v>
      </c>
      <c r="B926" t="s">
        <v>194</v>
      </c>
      <c r="C926" t="s">
        <v>196</v>
      </c>
      <c r="D926">
        <v>2017</v>
      </c>
      <c r="E926">
        <v>75</v>
      </c>
      <c r="F926">
        <v>60</v>
      </c>
      <c r="G926">
        <v>1.1513899999999999</v>
      </c>
      <c r="H926">
        <v>4.4000000000000004</v>
      </c>
      <c r="I926">
        <v>17200</v>
      </c>
      <c r="J926" t="s">
        <v>14</v>
      </c>
    </row>
    <row r="927" spans="1:10" x14ac:dyDescent="0.35">
      <c r="A927" t="s">
        <v>162</v>
      </c>
      <c r="B927" t="s">
        <v>194</v>
      </c>
      <c r="C927" t="s">
        <v>196</v>
      </c>
      <c r="D927">
        <v>2018</v>
      </c>
      <c r="E927">
        <v>75.67</v>
      </c>
      <c r="F927">
        <v>60.67</v>
      </c>
      <c r="G927">
        <v>1.160428</v>
      </c>
      <c r="H927">
        <v>4.67</v>
      </c>
      <c r="I927">
        <v>17200</v>
      </c>
      <c r="J927" t="s">
        <v>14</v>
      </c>
    </row>
    <row r="928" spans="1:10" x14ac:dyDescent="0.35">
      <c r="A928" t="s">
        <v>162</v>
      </c>
      <c r="B928" t="s">
        <v>194</v>
      </c>
      <c r="C928" t="s">
        <v>196</v>
      </c>
      <c r="D928">
        <v>2019</v>
      </c>
      <c r="E928">
        <v>76.67</v>
      </c>
      <c r="F928">
        <v>61.33</v>
      </c>
      <c r="G928">
        <v>1.169613</v>
      </c>
      <c r="H928">
        <v>4.5</v>
      </c>
      <c r="I928">
        <v>17200</v>
      </c>
      <c r="J928" t="s">
        <v>14</v>
      </c>
    </row>
    <row r="929" spans="1:10" x14ac:dyDescent="0.35">
      <c r="A929" t="s">
        <v>162</v>
      </c>
      <c r="B929" t="s">
        <v>194</v>
      </c>
      <c r="C929" t="s">
        <v>196</v>
      </c>
      <c r="D929">
        <v>2020</v>
      </c>
      <c r="E929">
        <v>76.67</v>
      </c>
      <c r="F929">
        <v>61.33</v>
      </c>
      <c r="G929">
        <v>1.180655</v>
      </c>
      <c r="H929">
        <v>3.98</v>
      </c>
      <c r="I929">
        <v>17200</v>
      </c>
      <c r="J929" t="s">
        <v>14</v>
      </c>
    </row>
    <row r="930" spans="1:10" x14ac:dyDescent="0.35">
      <c r="A930" t="s">
        <v>162</v>
      </c>
      <c r="B930" t="s">
        <v>194</v>
      </c>
      <c r="C930" t="s">
        <v>197</v>
      </c>
      <c r="D930">
        <v>2015</v>
      </c>
      <c r="E930">
        <v>74.67</v>
      </c>
      <c r="F930">
        <v>40.67</v>
      </c>
      <c r="G930">
        <v>2.1185209999999999</v>
      </c>
      <c r="H930">
        <v>2.36</v>
      </c>
      <c r="I930">
        <v>30360</v>
      </c>
      <c r="J930" t="s">
        <v>14</v>
      </c>
    </row>
    <row r="931" spans="1:10" x14ac:dyDescent="0.35">
      <c r="A931" t="s">
        <v>162</v>
      </c>
      <c r="B931" t="s">
        <v>194</v>
      </c>
      <c r="C931" t="s">
        <v>197</v>
      </c>
      <c r="D931">
        <v>2016</v>
      </c>
      <c r="E931">
        <v>75</v>
      </c>
      <c r="F931">
        <v>42.67</v>
      </c>
      <c r="G931">
        <v>2.143872</v>
      </c>
      <c r="H931">
        <v>2.11</v>
      </c>
      <c r="I931">
        <v>30360</v>
      </c>
      <c r="J931" t="s">
        <v>14</v>
      </c>
    </row>
    <row r="932" spans="1:10" x14ac:dyDescent="0.35">
      <c r="A932" t="s">
        <v>162</v>
      </c>
      <c r="B932" t="s">
        <v>194</v>
      </c>
      <c r="C932" t="s">
        <v>197</v>
      </c>
      <c r="D932">
        <v>2017</v>
      </c>
      <c r="E932">
        <v>75.33</v>
      </c>
      <c r="F932">
        <v>44.67</v>
      </c>
      <c r="G932">
        <v>2.170617</v>
      </c>
      <c r="H932">
        <v>2.31</v>
      </c>
      <c r="I932">
        <v>30360</v>
      </c>
      <c r="J932" t="s">
        <v>14</v>
      </c>
    </row>
    <row r="933" spans="1:10" x14ac:dyDescent="0.35">
      <c r="A933" t="s">
        <v>162</v>
      </c>
      <c r="B933" t="s">
        <v>194</v>
      </c>
      <c r="C933" t="s">
        <v>197</v>
      </c>
      <c r="D933">
        <v>2018</v>
      </c>
      <c r="E933">
        <v>76</v>
      </c>
      <c r="F933">
        <v>46.33</v>
      </c>
      <c r="G933">
        <v>2.1980170000000001</v>
      </c>
      <c r="H933">
        <v>2.5499999999999998</v>
      </c>
      <c r="I933">
        <v>30360</v>
      </c>
      <c r="J933" t="s">
        <v>14</v>
      </c>
    </row>
    <row r="934" spans="1:10" x14ac:dyDescent="0.35">
      <c r="A934" t="s">
        <v>162</v>
      </c>
      <c r="B934" t="s">
        <v>194</v>
      </c>
      <c r="C934" t="s">
        <v>197</v>
      </c>
      <c r="D934">
        <v>2019</v>
      </c>
      <c r="E934">
        <v>76</v>
      </c>
      <c r="F934">
        <v>47.67</v>
      </c>
      <c r="G934">
        <v>2.2257020000000001</v>
      </c>
      <c r="H934">
        <v>2.4500000000000002</v>
      </c>
      <c r="I934">
        <v>30360</v>
      </c>
      <c r="J934">
        <v>16.88</v>
      </c>
    </row>
    <row r="935" spans="1:10" x14ac:dyDescent="0.35">
      <c r="A935" t="s">
        <v>162</v>
      </c>
      <c r="B935" t="s">
        <v>194</v>
      </c>
      <c r="C935" t="s">
        <v>197</v>
      </c>
      <c r="D935">
        <v>2020</v>
      </c>
      <c r="E935">
        <v>76.33</v>
      </c>
      <c r="F935">
        <v>49.67</v>
      </c>
      <c r="G935">
        <v>2.2541000000000002</v>
      </c>
      <c r="H935">
        <v>2.23</v>
      </c>
      <c r="I935">
        <v>30360</v>
      </c>
      <c r="J935" t="s">
        <v>14</v>
      </c>
    </row>
    <row r="936" spans="1:10" x14ac:dyDescent="0.35">
      <c r="A936" t="s">
        <v>162</v>
      </c>
      <c r="B936" t="s">
        <v>194</v>
      </c>
      <c r="C936" t="s">
        <v>198</v>
      </c>
      <c r="D936">
        <v>2015</v>
      </c>
      <c r="E936">
        <v>83.33</v>
      </c>
      <c r="F936">
        <v>34.67</v>
      </c>
      <c r="G936">
        <v>2.2827039999999998</v>
      </c>
      <c r="H936">
        <v>11.34</v>
      </c>
      <c r="I936">
        <v>823290</v>
      </c>
      <c r="J936" t="s">
        <v>14</v>
      </c>
    </row>
    <row r="937" spans="1:10" x14ac:dyDescent="0.35">
      <c r="A937" t="s">
        <v>162</v>
      </c>
      <c r="B937" t="s">
        <v>194</v>
      </c>
      <c r="C937" t="s">
        <v>198</v>
      </c>
      <c r="D937">
        <v>2016</v>
      </c>
      <c r="E937">
        <v>83</v>
      </c>
      <c r="F937">
        <v>34.67</v>
      </c>
      <c r="G937">
        <v>2.3233519999999999</v>
      </c>
      <c r="H937">
        <v>10.72</v>
      </c>
      <c r="I937">
        <v>823290</v>
      </c>
      <c r="J937">
        <v>23.35</v>
      </c>
    </row>
    <row r="938" spans="1:10" x14ac:dyDescent="0.35">
      <c r="A938" t="s">
        <v>162</v>
      </c>
      <c r="B938" t="s">
        <v>194</v>
      </c>
      <c r="C938" t="s">
        <v>198</v>
      </c>
      <c r="D938">
        <v>2017</v>
      </c>
      <c r="E938">
        <v>83.33</v>
      </c>
      <c r="F938">
        <v>34.67</v>
      </c>
      <c r="G938">
        <v>2.3645339999999999</v>
      </c>
      <c r="H938">
        <v>12.9</v>
      </c>
      <c r="I938">
        <v>823290</v>
      </c>
      <c r="J938" t="s">
        <v>14</v>
      </c>
    </row>
    <row r="939" spans="1:10" x14ac:dyDescent="0.35">
      <c r="A939" t="s">
        <v>162</v>
      </c>
      <c r="B939" t="s">
        <v>194</v>
      </c>
      <c r="C939" t="s">
        <v>198</v>
      </c>
      <c r="D939">
        <v>2018</v>
      </c>
      <c r="E939">
        <v>83.67</v>
      </c>
      <c r="F939">
        <v>34.67</v>
      </c>
      <c r="G939">
        <v>2.4056799999999998</v>
      </c>
      <c r="H939">
        <v>13.68</v>
      </c>
      <c r="I939">
        <v>823290</v>
      </c>
      <c r="J939">
        <v>19.88</v>
      </c>
    </row>
    <row r="940" spans="1:10" x14ac:dyDescent="0.35">
      <c r="A940" t="s">
        <v>162</v>
      </c>
      <c r="B940" t="s">
        <v>194</v>
      </c>
      <c r="C940" t="s">
        <v>198</v>
      </c>
      <c r="D940">
        <v>2019</v>
      </c>
      <c r="E940">
        <v>83.67</v>
      </c>
      <c r="F940">
        <v>35</v>
      </c>
      <c r="G940">
        <v>2.446644</v>
      </c>
      <c r="H940">
        <v>12.54</v>
      </c>
      <c r="I940">
        <v>823290</v>
      </c>
      <c r="J940" t="s">
        <v>14</v>
      </c>
    </row>
    <row r="941" spans="1:10" x14ac:dyDescent="0.35">
      <c r="A941" t="s">
        <v>162</v>
      </c>
      <c r="B941" t="s">
        <v>194</v>
      </c>
      <c r="C941" t="s">
        <v>198</v>
      </c>
      <c r="D941">
        <v>2020</v>
      </c>
      <c r="E941">
        <v>83.67</v>
      </c>
      <c r="F941">
        <v>35</v>
      </c>
      <c r="G941">
        <v>2.4890979999999998</v>
      </c>
      <c r="H941">
        <v>10.58</v>
      </c>
      <c r="I941">
        <v>823290</v>
      </c>
      <c r="J941" t="s">
        <v>14</v>
      </c>
    </row>
    <row r="942" spans="1:10" x14ac:dyDescent="0.35">
      <c r="A942" t="s">
        <v>162</v>
      </c>
      <c r="B942" t="s">
        <v>194</v>
      </c>
      <c r="C942" t="s">
        <v>199</v>
      </c>
      <c r="D942">
        <v>2015</v>
      </c>
      <c r="E942">
        <v>90</v>
      </c>
      <c r="F942">
        <v>73.67</v>
      </c>
      <c r="G942">
        <v>55.876503999999997</v>
      </c>
      <c r="H942">
        <v>346.71</v>
      </c>
      <c r="I942">
        <v>1213090</v>
      </c>
      <c r="J942">
        <v>22.87</v>
      </c>
    </row>
    <row r="943" spans="1:10" x14ac:dyDescent="0.35">
      <c r="A943" t="s">
        <v>162</v>
      </c>
      <c r="B943" t="s">
        <v>194</v>
      </c>
      <c r="C943" t="s">
        <v>199</v>
      </c>
      <c r="D943">
        <v>2016</v>
      </c>
      <c r="E943">
        <v>90.33</v>
      </c>
      <c r="F943">
        <v>74.67</v>
      </c>
      <c r="G943">
        <v>56.422274000000002</v>
      </c>
      <c r="H943">
        <v>323.58999999999997</v>
      </c>
      <c r="I943">
        <v>1213090</v>
      </c>
      <c r="J943">
        <v>24.02</v>
      </c>
    </row>
    <row r="944" spans="1:10" x14ac:dyDescent="0.35">
      <c r="A944" t="s">
        <v>162</v>
      </c>
      <c r="B944" t="s">
        <v>194</v>
      </c>
      <c r="C944" t="s">
        <v>199</v>
      </c>
      <c r="D944">
        <v>2017</v>
      </c>
      <c r="E944">
        <v>91</v>
      </c>
      <c r="F944">
        <v>75.67</v>
      </c>
      <c r="G944">
        <v>56.641209000000003</v>
      </c>
      <c r="H944">
        <v>381.45</v>
      </c>
      <c r="I944">
        <v>1213090</v>
      </c>
      <c r="J944">
        <v>23.99</v>
      </c>
    </row>
    <row r="945" spans="1:10" x14ac:dyDescent="0.35">
      <c r="A945" t="s">
        <v>162</v>
      </c>
      <c r="B945" t="s">
        <v>194</v>
      </c>
      <c r="C945" t="s">
        <v>199</v>
      </c>
      <c r="D945">
        <v>2018</v>
      </c>
      <c r="E945">
        <v>91.33</v>
      </c>
      <c r="F945">
        <v>77</v>
      </c>
      <c r="G945">
        <v>57.339635000000001</v>
      </c>
      <c r="H945">
        <v>404.16</v>
      </c>
      <c r="I945">
        <v>1213090</v>
      </c>
      <c r="J945">
        <v>24.22</v>
      </c>
    </row>
    <row r="946" spans="1:10" x14ac:dyDescent="0.35">
      <c r="A946" t="s">
        <v>162</v>
      </c>
      <c r="B946" t="s">
        <v>194</v>
      </c>
      <c r="C946" t="s">
        <v>199</v>
      </c>
      <c r="D946">
        <v>2019</v>
      </c>
      <c r="E946">
        <v>91.67</v>
      </c>
      <c r="F946">
        <v>78</v>
      </c>
      <c r="G946">
        <v>58.087054999999999</v>
      </c>
      <c r="H946">
        <v>388.53</v>
      </c>
      <c r="I946">
        <v>1213090</v>
      </c>
      <c r="J946">
        <v>25.54</v>
      </c>
    </row>
    <row r="947" spans="1:10" x14ac:dyDescent="0.35">
      <c r="A947" t="s">
        <v>162</v>
      </c>
      <c r="B947" t="s">
        <v>194</v>
      </c>
      <c r="C947" t="s">
        <v>199</v>
      </c>
      <c r="D947">
        <v>2020</v>
      </c>
      <c r="E947">
        <v>92</v>
      </c>
      <c r="F947">
        <v>78.67</v>
      </c>
      <c r="G947">
        <v>58.801926999999999</v>
      </c>
      <c r="H947">
        <v>337.62</v>
      </c>
      <c r="I947">
        <v>1213090</v>
      </c>
      <c r="J947">
        <v>24.34</v>
      </c>
    </row>
    <row r="948" spans="1:10" x14ac:dyDescent="0.35">
      <c r="A948" t="s">
        <v>162</v>
      </c>
      <c r="B948" t="s">
        <v>200</v>
      </c>
      <c r="C948" t="s">
        <v>201</v>
      </c>
      <c r="D948">
        <v>2015</v>
      </c>
      <c r="E948">
        <v>65.33</v>
      </c>
      <c r="F948">
        <v>15.33</v>
      </c>
      <c r="G948">
        <v>10.932783000000001</v>
      </c>
      <c r="H948">
        <v>11.39</v>
      </c>
      <c r="I948">
        <v>112760</v>
      </c>
      <c r="J948" t="s">
        <v>14</v>
      </c>
    </row>
    <row r="949" spans="1:10" x14ac:dyDescent="0.35">
      <c r="A949" t="s">
        <v>162</v>
      </c>
      <c r="B949" t="s">
        <v>200</v>
      </c>
      <c r="C949" t="s">
        <v>201</v>
      </c>
      <c r="D949">
        <v>2016</v>
      </c>
      <c r="E949">
        <v>65.33</v>
      </c>
      <c r="F949">
        <v>15.67</v>
      </c>
      <c r="G949">
        <v>11.260085</v>
      </c>
      <c r="H949">
        <v>11.82</v>
      </c>
      <c r="I949">
        <v>112760</v>
      </c>
      <c r="J949" t="s">
        <v>14</v>
      </c>
    </row>
    <row r="950" spans="1:10" x14ac:dyDescent="0.35">
      <c r="A950" t="s">
        <v>162</v>
      </c>
      <c r="B950" t="s">
        <v>200</v>
      </c>
      <c r="C950" t="s">
        <v>201</v>
      </c>
      <c r="D950">
        <v>2017</v>
      </c>
      <c r="E950">
        <v>65.33</v>
      </c>
      <c r="F950">
        <v>16</v>
      </c>
      <c r="G950">
        <v>11.596779</v>
      </c>
      <c r="H950">
        <v>12.7</v>
      </c>
      <c r="I950">
        <v>112760</v>
      </c>
      <c r="J950" t="s">
        <v>14</v>
      </c>
    </row>
    <row r="951" spans="1:10" x14ac:dyDescent="0.35">
      <c r="A951" t="s">
        <v>162</v>
      </c>
      <c r="B951" t="s">
        <v>200</v>
      </c>
      <c r="C951" t="s">
        <v>201</v>
      </c>
      <c r="D951">
        <v>2018</v>
      </c>
      <c r="E951">
        <v>65.67</v>
      </c>
      <c r="F951">
        <v>16.329999999999998</v>
      </c>
      <c r="G951">
        <v>11.940683</v>
      </c>
      <c r="H951">
        <v>14.26</v>
      </c>
      <c r="I951">
        <v>112760</v>
      </c>
      <c r="J951">
        <v>1.47</v>
      </c>
    </row>
    <row r="952" spans="1:10" x14ac:dyDescent="0.35">
      <c r="A952" t="s">
        <v>162</v>
      </c>
      <c r="B952" t="s">
        <v>200</v>
      </c>
      <c r="C952" t="s">
        <v>201</v>
      </c>
      <c r="D952">
        <v>2019</v>
      </c>
      <c r="E952">
        <v>65.33</v>
      </c>
      <c r="F952">
        <v>17</v>
      </c>
      <c r="G952">
        <v>12.290444000000001</v>
      </c>
      <c r="H952">
        <v>14.39</v>
      </c>
      <c r="I952">
        <v>112760</v>
      </c>
      <c r="J952" t="s">
        <v>14</v>
      </c>
    </row>
    <row r="953" spans="1:10" x14ac:dyDescent="0.35">
      <c r="A953" t="s">
        <v>162</v>
      </c>
      <c r="B953" t="s">
        <v>200</v>
      </c>
      <c r="C953" t="s">
        <v>201</v>
      </c>
      <c r="D953">
        <v>2020</v>
      </c>
      <c r="E953">
        <v>65.33</v>
      </c>
      <c r="F953">
        <v>17.329999999999998</v>
      </c>
      <c r="G953">
        <v>12.643122999999999</v>
      </c>
      <c r="H953">
        <v>15.65</v>
      </c>
      <c r="I953">
        <v>112760</v>
      </c>
      <c r="J953" t="s">
        <v>14</v>
      </c>
    </row>
    <row r="954" spans="1:10" x14ac:dyDescent="0.35">
      <c r="A954" t="s">
        <v>162</v>
      </c>
      <c r="B954" t="s">
        <v>200</v>
      </c>
      <c r="C954" t="s">
        <v>202</v>
      </c>
      <c r="D954">
        <v>2015</v>
      </c>
      <c r="E954">
        <v>56.33</v>
      </c>
      <c r="F954">
        <v>24.67</v>
      </c>
      <c r="G954">
        <v>18.718019000000002</v>
      </c>
      <c r="H954">
        <v>11.83</v>
      </c>
      <c r="I954">
        <v>273600</v>
      </c>
      <c r="J954" t="s">
        <v>14</v>
      </c>
    </row>
    <row r="955" spans="1:10" x14ac:dyDescent="0.35">
      <c r="A955" t="s">
        <v>162</v>
      </c>
      <c r="B955" t="s">
        <v>200</v>
      </c>
      <c r="C955" t="s">
        <v>202</v>
      </c>
      <c r="D955">
        <v>2016</v>
      </c>
      <c r="E955">
        <v>56</v>
      </c>
      <c r="F955">
        <v>24.67</v>
      </c>
      <c r="G955">
        <v>19.275497999999999</v>
      </c>
      <c r="H955">
        <v>12.83</v>
      </c>
      <c r="I955">
        <v>273600</v>
      </c>
      <c r="J955" t="s">
        <v>14</v>
      </c>
    </row>
    <row r="956" spans="1:10" x14ac:dyDescent="0.35">
      <c r="A956" t="s">
        <v>162</v>
      </c>
      <c r="B956" t="s">
        <v>200</v>
      </c>
      <c r="C956" t="s">
        <v>202</v>
      </c>
      <c r="D956">
        <v>2017</v>
      </c>
      <c r="E956">
        <v>55</v>
      </c>
      <c r="F956">
        <v>25</v>
      </c>
      <c r="G956">
        <v>19.835858000000002</v>
      </c>
      <c r="H956">
        <v>14.11</v>
      </c>
      <c r="I956">
        <v>273600</v>
      </c>
      <c r="J956" t="s">
        <v>14</v>
      </c>
    </row>
    <row r="957" spans="1:10" x14ac:dyDescent="0.35">
      <c r="A957" t="s">
        <v>162</v>
      </c>
      <c r="B957" t="s">
        <v>200</v>
      </c>
      <c r="C957" t="s">
        <v>202</v>
      </c>
      <c r="D957">
        <v>2018</v>
      </c>
      <c r="E957">
        <v>54.33</v>
      </c>
      <c r="F957">
        <v>25</v>
      </c>
      <c r="G957">
        <v>20.392723</v>
      </c>
      <c r="H957">
        <v>15.89</v>
      </c>
      <c r="I957">
        <v>273600</v>
      </c>
      <c r="J957">
        <v>4.6900000000000004</v>
      </c>
    </row>
    <row r="958" spans="1:10" x14ac:dyDescent="0.35">
      <c r="A958" t="s">
        <v>162</v>
      </c>
      <c r="B958" t="s">
        <v>200</v>
      </c>
      <c r="C958" t="s">
        <v>202</v>
      </c>
      <c r="D958">
        <v>2019</v>
      </c>
      <c r="E958">
        <v>54</v>
      </c>
      <c r="F958">
        <v>25</v>
      </c>
      <c r="G958">
        <v>20.951639</v>
      </c>
      <c r="H958">
        <v>16.18</v>
      </c>
      <c r="I958">
        <v>273600</v>
      </c>
      <c r="J958" t="s">
        <v>14</v>
      </c>
    </row>
    <row r="959" spans="1:10" x14ac:dyDescent="0.35">
      <c r="A959" t="s">
        <v>162</v>
      </c>
      <c r="B959" t="s">
        <v>200</v>
      </c>
      <c r="C959" t="s">
        <v>202</v>
      </c>
      <c r="D959">
        <v>2020</v>
      </c>
      <c r="E959">
        <v>53.33</v>
      </c>
      <c r="F959">
        <v>25</v>
      </c>
      <c r="G959">
        <v>21.522625999999999</v>
      </c>
      <c r="H959">
        <v>17.93</v>
      </c>
      <c r="I959">
        <v>273600</v>
      </c>
      <c r="J959" t="s">
        <v>14</v>
      </c>
    </row>
    <row r="960" spans="1:10" x14ac:dyDescent="0.35">
      <c r="A960" t="s">
        <v>162</v>
      </c>
      <c r="B960" t="s">
        <v>200</v>
      </c>
      <c r="C960" t="s">
        <v>203</v>
      </c>
      <c r="D960">
        <v>2015</v>
      </c>
      <c r="E960">
        <v>83.33</v>
      </c>
      <c r="F960">
        <v>68.67</v>
      </c>
      <c r="G960">
        <v>0.55216600000000005</v>
      </c>
      <c r="H960">
        <v>1.6</v>
      </c>
      <c r="I960">
        <v>4030</v>
      </c>
      <c r="J960">
        <v>31.31</v>
      </c>
    </row>
    <row r="961" spans="1:10" x14ac:dyDescent="0.35">
      <c r="A961" t="s">
        <v>162</v>
      </c>
      <c r="B961" t="s">
        <v>200</v>
      </c>
      <c r="C961" t="s">
        <v>203</v>
      </c>
      <c r="D961">
        <v>2016</v>
      </c>
      <c r="E961">
        <v>84.33</v>
      </c>
      <c r="F961">
        <v>70.33</v>
      </c>
      <c r="G961">
        <v>0.55839399999999995</v>
      </c>
      <c r="H961">
        <v>1.66</v>
      </c>
      <c r="I961">
        <v>4030</v>
      </c>
      <c r="J961" t="s">
        <v>14</v>
      </c>
    </row>
    <row r="962" spans="1:10" x14ac:dyDescent="0.35">
      <c r="A962" t="s">
        <v>162</v>
      </c>
      <c r="B962" t="s">
        <v>200</v>
      </c>
      <c r="C962" t="s">
        <v>203</v>
      </c>
      <c r="D962">
        <v>2017</v>
      </c>
      <c r="E962">
        <v>85.33</v>
      </c>
      <c r="F962">
        <v>72.33</v>
      </c>
      <c r="G962">
        <v>0.56495399999999996</v>
      </c>
      <c r="H962">
        <v>1.77</v>
      </c>
      <c r="I962">
        <v>4030</v>
      </c>
      <c r="J962">
        <v>12.24</v>
      </c>
    </row>
    <row r="963" spans="1:10" x14ac:dyDescent="0.35">
      <c r="A963" t="s">
        <v>162</v>
      </c>
      <c r="B963" t="s">
        <v>200</v>
      </c>
      <c r="C963" t="s">
        <v>203</v>
      </c>
      <c r="D963">
        <v>2018</v>
      </c>
      <c r="E963">
        <v>86</v>
      </c>
      <c r="F963">
        <v>74.67</v>
      </c>
      <c r="G963">
        <v>0.57120199999999999</v>
      </c>
      <c r="H963">
        <v>1.97</v>
      </c>
      <c r="I963">
        <v>4030</v>
      </c>
      <c r="J963">
        <v>12.17</v>
      </c>
    </row>
    <row r="964" spans="1:10" x14ac:dyDescent="0.35">
      <c r="A964" t="s">
        <v>162</v>
      </c>
      <c r="B964" t="s">
        <v>200</v>
      </c>
      <c r="C964" t="s">
        <v>203</v>
      </c>
      <c r="D964">
        <v>2019</v>
      </c>
      <c r="E964">
        <v>86.67</v>
      </c>
      <c r="F964">
        <v>76</v>
      </c>
      <c r="G964">
        <v>0.57703000000000004</v>
      </c>
      <c r="H964">
        <v>1.98</v>
      </c>
      <c r="I964">
        <v>4030</v>
      </c>
      <c r="J964">
        <v>11.29</v>
      </c>
    </row>
    <row r="965" spans="1:10" x14ac:dyDescent="0.35">
      <c r="A965" t="s">
        <v>162</v>
      </c>
      <c r="B965" t="s">
        <v>200</v>
      </c>
      <c r="C965" t="s">
        <v>203</v>
      </c>
      <c r="D965">
        <v>2020</v>
      </c>
      <c r="E965">
        <v>87.33</v>
      </c>
      <c r="F965">
        <v>78</v>
      </c>
      <c r="G965">
        <v>0.58264000000000005</v>
      </c>
      <c r="H965">
        <v>1.7</v>
      </c>
      <c r="I965">
        <v>4030</v>
      </c>
      <c r="J965" t="s">
        <v>14</v>
      </c>
    </row>
    <row r="966" spans="1:10" x14ac:dyDescent="0.35">
      <c r="A966" t="s">
        <v>162</v>
      </c>
      <c r="B966" t="s">
        <v>200</v>
      </c>
      <c r="C966" t="s">
        <v>204</v>
      </c>
      <c r="D966">
        <v>2015</v>
      </c>
      <c r="E966">
        <v>71.33</v>
      </c>
      <c r="F966">
        <v>30.67</v>
      </c>
      <c r="G966" t="s">
        <v>14</v>
      </c>
      <c r="H966" t="s">
        <v>14</v>
      </c>
      <c r="I966" t="s">
        <v>14</v>
      </c>
      <c r="J966" t="s">
        <v>14</v>
      </c>
    </row>
    <row r="967" spans="1:10" x14ac:dyDescent="0.35">
      <c r="A967" t="s">
        <v>162</v>
      </c>
      <c r="B967" t="s">
        <v>200</v>
      </c>
      <c r="C967" t="s">
        <v>204</v>
      </c>
      <c r="D967">
        <v>2016</v>
      </c>
      <c r="E967">
        <v>71</v>
      </c>
      <c r="F967">
        <v>31.33</v>
      </c>
      <c r="G967" t="s">
        <v>14</v>
      </c>
      <c r="H967" t="s">
        <v>14</v>
      </c>
      <c r="I967" t="s">
        <v>14</v>
      </c>
      <c r="J967" t="s">
        <v>14</v>
      </c>
    </row>
    <row r="968" spans="1:10" x14ac:dyDescent="0.35">
      <c r="A968" t="s">
        <v>162</v>
      </c>
      <c r="B968" t="s">
        <v>200</v>
      </c>
      <c r="C968" t="s">
        <v>204</v>
      </c>
      <c r="D968">
        <v>2017</v>
      </c>
      <c r="E968">
        <v>71</v>
      </c>
      <c r="F968">
        <v>32</v>
      </c>
      <c r="G968" t="s">
        <v>14</v>
      </c>
      <c r="H968" t="s">
        <v>14</v>
      </c>
      <c r="I968" t="s">
        <v>14</v>
      </c>
      <c r="J968" t="s">
        <v>14</v>
      </c>
    </row>
    <row r="969" spans="1:10" x14ac:dyDescent="0.35">
      <c r="A969" t="s">
        <v>162</v>
      </c>
      <c r="B969" t="s">
        <v>200</v>
      </c>
      <c r="C969" t="s">
        <v>204</v>
      </c>
      <c r="D969">
        <v>2018</v>
      </c>
      <c r="E969">
        <v>71</v>
      </c>
      <c r="F969">
        <v>33</v>
      </c>
      <c r="G969" t="s">
        <v>14</v>
      </c>
      <c r="H969" t="s">
        <v>14</v>
      </c>
      <c r="I969" t="s">
        <v>14</v>
      </c>
      <c r="J969" t="s">
        <v>14</v>
      </c>
    </row>
    <row r="970" spans="1:10" x14ac:dyDescent="0.35">
      <c r="A970" t="s">
        <v>162</v>
      </c>
      <c r="B970" t="s">
        <v>200</v>
      </c>
      <c r="C970" t="s">
        <v>204</v>
      </c>
      <c r="D970">
        <v>2019</v>
      </c>
      <c r="E970">
        <v>70.67</v>
      </c>
      <c r="F970">
        <v>33.67</v>
      </c>
      <c r="G970" t="s">
        <v>14</v>
      </c>
      <c r="H970" t="s">
        <v>14</v>
      </c>
      <c r="I970" t="s">
        <v>14</v>
      </c>
      <c r="J970" t="s">
        <v>14</v>
      </c>
    </row>
    <row r="971" spans="1:10" x14ac:dyDescent="0.35">
      <c r="A971" t="s">
        <v>162</v>
      </c>
      <c r="B971" t="s">
        <v>200</v>
      </c>
      <c r="C971" t="s">
        <v>204</v>
      </c>
      <c r="D971">
        <v>2020</v>
      </c>
      <c r="E971">
        <v>70.67</v>
      </c>
      <c r="F971">
        <v>34.67</v>
      </c>
      <c r="G971" t="s">
        <v>14</v>
      </c>
      <c r="H971" t="s">
        <v>14</v>
      </c>
      <c r="I971" t="s">
        <v>14</v>
      </c>
      <c r="J971" t="s">
        <v>14</v>
      </c>
    </row>
    <row r="972" spans="1:10" x14ac:dyDescent="0.35">
      <c r="A972" t="s">
        <v>162</v>
      </c>
      <c r="B972" t="s">
        <v>200</v>
      </c>
      <c r="C972" t="s">
        <v>205</v>
      </c>
      <c r="D972">
        <v>2015</v>
      </c>
      <c r="E972">
        <v>78</v>
      </c>
      <c r="F972">
        <v>45</v>
      </c>
      <c r="G972" t="s">
        <v>14</v>
      </c>
      <c r="H972" t="s">
        <v>14</v>
      </c>
      <c r="I972" t="s">
        <v>14</v>
      </c>
      <c r="J972" t="s">
        <v>14</v>
      </c>
    </row>
    <row r="973" spans="1:10" x14ac:dyDescent="0.35">
      <c r="A973" t="s">
        <v>162</v>
      </c>
      <c r="B973" t="s">
        <v>200</v>
      </c>
      <c r="C973" t="s">
        <v>205</v>
      </c>
      <c r="D973">
        <v>2016</v>
      </c>
      <c r="E973">
        <v>78.33</v>
      </c>
      <c r="F973">
        <v>45</v>
      </c>
      <c r="G973" t="s">
        <v>14</v>
      </c>
      <c r="H973" t="s">
        <v>14</v>
      </c>
      <c r="I973" t="s">
        <v>14</v>
      </c>
      <c r="J973" t="s">
        <v>14</v>
      </c>
    </row>
    <row r="974" spans="1:10" x14ac:dyDescent="0.35">
      <c r="A974" t="s">
        <v>162</v>
      </c>
      <c r="B974" t="s">
        <v>200</v>
      </c>
      <c r="C974" t="s">
        <v>205</v>
      </c>
      <c r="D974">
        <v>2017</v>
      </c>
      <c r="E974">
        <v>78.67</v>
      </c>
      <c r="F974">
        <v>44.67</v>
      </c>
      <c r="G974" t="s">
        <v>14</v>
      </c>
      <c r="H974" t="s">
        <v>14</v>
      </c>
      <c r="I974" t="s">
        <v>14</v>
      </c>
      <c r="J974" t="s">
        <v>14</v>
      </c>
    </row>
    <row r="975" spans="1:10" x14ac:dyDescent="0.35">
      <c r="A975" t="s">
        <v>162</v>
      </c>
      <c r="B975" t="s">
        <v>200</v>
      </c>
      <c r="C975" t="s">
        <v>205</v>
      </c>
      <c r="D975">
        <v>2018</v>
      </c>
      <c r="E975">
        <v>78.67</v>
      </c>
      <c r="F975">
        <v>44.67</v>
      </c>
      <c r="G975" t="s">
        <v>14</v>
      </c>
      <c r="H975" t="s">
        <v>14</v>
      </c>
      <c r="I975" t="s">
        <v>14</v>
      </c>
      <c r="J975" t="s">
        <v>14</v>
      </c>
    </row>
    <row r="976" spans="1:10" x14ac:dyDescent="0.35">
      <c r="A976" t="s">
        <v>162</v>
      </c>
      <c r="B976" t="s">
        <v>200</v>
      </c>
      <c r="C976" t="s">
        <v>205</v>
      </c>
      <c r="D976">
        <v>2019</v>
      </c>
      <c r="E976">
        <v>79.33</v>
      </c>
      <c r="F976">
        <v>44.33</v>
      </c>
      <c r="G976" t="s">
        <v>14</v>
      </c>
      <c r="H976" t="s">
        <v>14</v>
      </c>
      <c r="I976" t="s">
        <v>14</v>
      </c>
      <c r="J976" t="s">
        <v>14</v>
      </c>
    </row>
    <row r="977" spans="1:10" x14ac:dyDescent="0.35">
      <c r="A977" t="s">
        <v>162</v>
      </c>
      <c r="B977" t="s">
        <v>200</v>
      </c>
      <c r="C977" t="s">
        <v>205</v>
      </c>
      <c r="D977">
        <v>2020</v>
      </c>
      <c r="E977">
        <v>79.33</v>
      </c>
      <c r="F977">
        <v>44.33</v>
      </c>
      <c r="G977" t="s">
        <v>14</v>
      </c>
      <c r="H977" t="s">
        <v>14</v>
      </c>
      <c r="I977" t="s">
        <v>14</v>
      </c>
      <c r="J977" t="s">
        <v>14</v>
      </c>
    </row>
    <row r="978" spans="1:10" x14ac:dyDescent="0.35">
      <c r="A978" t="s">
        <v>162</v>
      </c>
      <c r="B978" t="s">
        <v>200</v>
      </c>
      <c r="C978" t="s">
        <v>206</v>
      </c>
      <c r="D978">
        <v>2015</v>
      </c>
      <c r="E978">
        <v>79.33</v>
      </c>
      <c r="F978">
        <v>18.670000000000002</v>
      </c>
      <c r="G978">
        <v>28.870939</v>
      </c>
      <c r="H978">
        <v>49.41</v>
      </c>
      <c r="I978">
        <v>227540</v>
      </c>
      <c r="J978">
        <v>6.81</v>
      </c>
    </row>
    <row r="979" spans="1:10" x14ac:dyDescent="0.35">
      <c r="A979" t="s">
        <v>162</v>
      </c>
      <c r="B979" t="s">
        <v>200</v>
      </c>
      <c r="C979" t="s">
        <v>206</v>
      </c>
      <c r="D979">
        <v>2016</v>
      </c>
      <c r="E979">
        <v>80.33</v>
      </c>
      <c r="F979">
        <v>19.670000000000002</v>
      </c>
      <c r="G979">
        <v>29.554303000000001</v>
      </c>
      <c r="H979">
        <v>56.17</v>
      </c>
      <c r="I979">
        <v>227540</v>
      </c>
      <c r="J979" t="s">
        <v>14</v>
      </c>
    </row>
    <row r="980" spans="1:10" x14ac:dyDescent="0.35">
      <c r="A980" t="s">
        <v>162</v>
      </c>
      <c r="B980" t="s">
        <v>200</v>
      </c>
      <c r="C980" t="s">
        <v>206</v>
      </c>
      <c r="D980">
        <v>2017</v>
      </c>
      <c r="E980">
        <v>81.33</v>
      </c>
      <c r="F980">
        <v>20.67</v>
      </c>
      <c r="G980">
        <v>30.222262000000001</v>
      </c>
      <c r="H980">
        <v>60.41</v>
      </c>
      <c r="I980">
        <v>227540</v>
      </c>
      <c r="J980">
        <v>3.37</v>
      </c>
    </row>
    <row r="981" spans="1:10" x14ac:dyDescent="0.35">
      <c r="A981" t="s">
        <v>162</v>
      </c>
      <c r="B981" t="s">
        <v>200</v>
      </c>
      <c r="C981" t="s">
        <v>206</v>
      </c>
      <c r="D981">
        <v>2018</v>
      </c>
      <c r="E981">
        <v>82.67</v>
      </c>
      <c r="F981">
        <v>21.67</v>
      </c>
      <c r="G981">
        <v>30.870640999999999</v>
      </c>
      <c r="H981">
        <v>67.3</v>
      </c>
      <c r="I981">
        <v>227540</v>
      </c>
      <c r="J981" t="s">
        <v>14</v>
      </c>
    </row>
    <row r="982" spans="1:10" x14ac:dyDescent="0.35">
      <c r="A982" t="s">
        <v>162</v>
      </c>
      <c r="B982" t="s">
        <v>200</v>
      </c>
      <c r="C982" t="s">
        <v>206</v>
      </c>
      <c r="D982">
        <v>2019</v>
      </c>
      <c r="E982">
        <v>83.67</v>
      </c>
      <c r="F982">
        <v>22.67</v>
      </c>
      <c r="G982">
        <v>31.522290000000002</v>
      </c>
      <c r="H982">
        <v>68.34</v>
      </c>
      <c r="I982">
        <v>227540</v>
      </c>
      <c r="J982" t="s">
        <v>14</v>
      </c>
    </row>
    <row r="983" spans="1:10" x14ac:dyDescent="0.35">
      <c r="A983" t="s">
        <v>162</v>
      </c>
      <c r="B983" t="s">
        <v>200</v>
      </c>
      <c r="C983" t="s">
        <v>206</v>
      </c>
      <c r="D983">
        <v>2020</v>
      </c>
      <c r="E983">
        <v>84.67</v>
      </c>
      <c r="F983">
        <v>23</v>
      </c>
      <c r="G983">
        <v>32.180401000000003</v>
      </c>
      <c r="H983">
        <v>70.040000000000006</v>
      </c>
      <c r="I983">
        <v>227533</v>
      </c>
      <c r="J983" t="s">
        <v>14</v>
      </c>
    </row>
    <row r="984" spans="1:10" x14ac:dyDescent="0.35">
      <c r="A984" t="s">
        <v>162</v>
      </c>
      <c r="B984" t="s">
        <v>200</v>
      </c>
      <c r="C984" t="s">
        <v>207</v>
      </c>
      <c r="D984">
        <v>2015</v>
      </c>
      <c r="E984">
        <v>67</v>
      </c>
      <c r="F984">
        <v>26</v>
      </c>
      <c r="G984">
        <v>11.625997999999999</v>
      </c>
      <c r="H984">
        <v>8.7899999999999991</v>
      </c>
      <c r="I984">
        <v>245720</v>
      </c>
      <c r="J984" t="s">
        <v>14</v>
      </c>
    </row>
    <row r="985" spans="1:10" x14ac:dyDescent="0.35">
      <c r="A985" t="s">
        <v>162</v>
      </c>
      <c r="B985" t="s">
        <v>200</v>
      </c>
      <c r="C985" t="s">
        <v>207</v>
      </c>
      <c r="D985">
        <v>2016</v>
      </c>
      <c r="E985">
        <v>67</v>
      </c>
      <c r="F985">
        <v>27.33</v>
      </c>
      <c r="G985">
        <v>11.930985</v>
      </c>
      <c r="H985">
        <v>8.6</v>
      </c>
      <c r="I985">
        <v>245720</v>
      </c>
      <c r="J985" t="s">
        <v>14</v>
      </c>
    </row>
    <row r="986" spans="1:10" x14ac:dyDescent="0.35">
      <c r="A986" t="s">
        <v>162</v>
      </c>
      <c r="B986" t="s">
        <v>200</v>
      </c>
      <c r="C986" t="s">
        <v>207</v>
      </c>
      <c r="D986">
        <v>2017</v>
      </c>
      <c r="E986">
        <v>67.33</v>
      </c>
      <c r="F986">
        <v>28.33</v>
      </c>
      <c r="G986">
        <v>12.240788999999999</v>
      </c>
      <c r="H986">
        <v>10.32</v>
      </c>
      <c r="I986">
        <v>245720</v>
      </c>
      <c r="J986" t="s">
        <v>14</v>
      </c>
    </row>
    <row r="987" spans="1:10" x14ac:dyDescent="0.35">
      <c r="A987" t="s">
        <v>162</v>
      </c>
      <c r="B987" t="s">
        <v>200</v>
      </c>
      <c r="C987" t="s">
        <v>207</v>
      </c>
      <c r="D987">
        <v>2018</v>
      </c>
      <c r="E987">
        <v>67</v>
      </c>
      <c r="F987">
        <v>29.67</v>
      </c>
      <c r="G987">
        <v>12.554864</v>
      </c>
      <c r="H987">
        <v>11.86</v>
      </c>
      <c r="I987">
        <v>245720</v>
      </c>
      <c r="J987" t="s">
        <v>14</v>
      </c>
    </row>
    <row r="988" spans="1:10" x14ac:dyDescent="0.35">
      <c r="A988" t="s">
        <v>162</v>
      </c>
      <c r="B988" t="s">
        <v>200</v>
      </c>
      <c r="C988" t="s">
        <v>207</v>
      </c>
      <c r="D988">
        <v>2019</v>
      </c>
      <c r="E988">
        <v>67</v>
      </c>
      <c r="F988">
        <v>30.67</v>
      </c>
      <c r="G988">
        <v>12.877539000000001</v>
      </c>
      <c r="H988">
        <v>13.44</v>
      </c>
      <c r="I988">
        <v>245720</v>
      </c>
      <c r="J988">
        <v>5.0199999999999996</v>
      </c>
    </row>
    <row r="989" spans="1:10" x14ac:dyDescent="0.35">
      <c r="A989" t="s">
        <v>162</v>
      </c>
      <c r="B989" t="s">
        <v>200</v>
      </c>
      <c r="C989" t="s">
        <v>207</v>
      </c>
      <c r="D989">
        <v>2020</v>
      </c>
      <c r="E989">
        <v>67.33</v>
      </c>
      <c r="F989">
        <v>32.33</v>
      </c>
      <c r="G989">
        <v>13.205152999999999</v>
      </c>
      <c r="H989">
        <v>14.18</v>
      </c>
      <c r="I989">
        <v>245720</v>
      </c>
      <c r="J989" t="s">
        <v>14</v>
      </c>
    </row>
    <row r="990" spans="1:10" x14ac:dyDescent="0.35">
      <c r="A990" t="s">
        <v>162</v>
      </c>
      <c r="B990" t="s">
        <v>200</v>
      </c>
      <c r="C990" t="s">
        <v>208</v>
      </c>
      <c r="D990">
        <v>2015</v>
      </c>
      <c r="E990">
        <v>60</v>
      </c>
      <c r="F990">
        <v>15.67</v>
      </c>
      <c r="G990">
        <v>1.7889189999999999</v>
      </c>
      <c r="H990">
        <v>1.05</v>
      </c>
      <c r="I990">
        <v>28120</v>
      </c>
      <c r="J990" t="s">
        <v>14</v>
      </c>
    </row>
    <row r="991" spans="1:10" x14ac:dyDescent="0.35">
      <c r="A991" t="s">
        <v>162</v>
      </c>
      <c r="B991" t="s">
        <v>200</v>
      </c>
      <c r="C991" t="s">
        <v>208</v>
      </c>
      <c r="D991">
        <v>2016</v>
      </c>
      <c r="E991">
        <v>60.33</v>
      </c>
      <c r="F991">
        <v>16.329999999999998</v>
      </c>
      <c r="G991">
        <v>1.834552</v>
      </c>
      <c r="H991">
        <v>1.18</v>
      </c>
      <c r="I991">
        <v>28120</v>
      </c>
      <c r="J991" t="s">
        <v>14</v>
      </c>
    </row>
    <row r="992" spans="1:10" x14ac:dyDescent="0.35">
      <c r="A992" t="s">
        <v>162</v>
      </c>
      <c r="B992" t="s">
        <v>200</v>
      </c>
      <c r="C992" t="s">
        <v>208</v>
      </c>
      <c r="D992">
        <v>2017</v>
      </c>
      <c r="E992">
        <v>60</v>
      </c>
      <c r="F992">
        <v>17</v>
      </c>
      <c r="G992">
        <v>1.879826</v>
      </c>
      <c r="H992">
        <v>1.35</v>
      </c>
      <c r="I992">
        <v>28120</v>
      </c>
      <c r="J992" t="s">
        <v>14</v>
      </c>
    </row>
    <row r="993" spans="1:10" x14ac:dyDescent="0.35">
      <c r="A993" t="s">
        <v>162</v>
      </c>
      <c r="B993" t="s">
        <v>200</v>
      </c>
      <c r="C993" t="s">
        <v>208</v>
      </c>
      <c r="D993">
        <v>2018</v>
      </c>
      <c r="E993">
        <v>60</v>
      </c>
      <c r="F993">
        <v>18</v>
      </c>
      <c r="G993">
        <v>1.924955</v>
      </c>
      <c r="H993">
        <v>1.5</v>
      </c>
      <c r="I993">
        <v>28120</v>
      </c>
      <c r="J993">
        <v>3.2</v>
      </c>
    </row>
    <row r="994" spans="1:10" x14ac:dyDescent="0.35">
      <c r="A994" t="s">
        <v>162</v>
      </c>
      <c r="B994" t="s">
        <v>200</v>
      </c>
      <c r="C994" t="s">
        <v>208</v>
      </c>
      <c r="D994">
        <v>2019</v>
      </c>
      <c r="E994">
        <v>60</v>
      </c>
      <c r="F994">
        <v>18.329999999999998</v>
      </c>
      <c r="G994">
        <v>1.9704569999999999</v>
      </c>
      <c r="H994">
        <v>1.44</v>
      </c>
      <c r="I994">
        <v>28120</v>
      </c>
      <c r="J994" t="s">
        <v>14</v>
      </c>
    </row>
    <row r="995" spans="1:10" x14ac:dyDescent="0.35">
      <c r="A995" t="s">
        <v>162</v>
      </c>
      <c r="B995" t="s">
        <v>200</v>
      </c>
      <c r="C995" t="s">
        <v>208</v>
      </c>
      <c r="D995">
        <v>2020</v>
      </c>
      <c r="E995">
        <v>60</v>
      </c>
      <c r="F995">
        <v>19.329999999999998</v>
      </c>
      <c r="G995">
        <v>2.015828</v>
      </c>
      <c r="H995">
        <v>1.43</v>
      </c>
      <c r="I995">
        <v>28120</v>
      </c>
      <c r="J995" t="s">
        <v>14</v>
      </c>
    </row>
    <row r="996" spans="1:10" x14ac:dyDescent="0.35">
      <c r="A996" t="s">
        <v>162</v>
      </c>
      <c r="B996" t="s">
        <v>200</v>
      </c>
      <c r="C996" t="s">
        <v>209</v>
      </c>
      <c r="D996">
        <v>2015</v>
      </c>
      <c r="E996">
        <v>72.67</v>
      </c>
      <c r="F996">
        <v>17</v>
      </c>
      <c r="G996">
        <v>4.6123289999999999</v>
      </c>
      <c r="H996">
        <v>3.23</v>
      </c>
      <c r="I996">
        <v>96320</v>
      </c>
      <c r="J996" t="s">
        <v>14</v>
      </c>
    </row>
    <row r="997" spans="1:10" x14ac:dyDescent="0.35">
      <c r="A997" t="s">
        <v>162</v>
      </c>
      <c r="B997" t="s">
        <v>200</v>
      </c>
      <c r="C997" t="s">
        <v>209</v>
      </c>
      <c r="D997">
        <v>2016</v>
      </c>
      <c r="E997">
        <v>73</v>
      </c>
      <c r="F997">
        <v>17.329999999999998</v>
      </c>
      <c r="G997">
        <v>4.7060969999999998</v>
      </c>
      <c r="H997">
        <v>3.4</v>
      </c>
      <c r="I997">
        <v>96320</v>
      </c>
      <c r="J997">
        <v>3.08</v>
      </c>
    </row>
    <row r="998" spans="1:10" x14ac:dyDescent="0.35">
      <c r="A998" t="s">
        <v>162</v>
      </c>
      <c r="B998" t="s">
        <v>200</v>
      </c>
      <c r="C998" t="s">
        <v>209</v>
      </c>
      <c r="D998">
        <v>2017</v>
      </c>
      <c r="E998">
        <v>74</v>
      </c>
      <c r="F998">
        <v>17.329999999999998</v>
      </c>
      <c r="G998">
        <v>4.7966309999999996</v>
      </c>
      <c r="H998">
        <v>3.39</v>
      </c>
      <c r="I998">
        <v>96320</v>
      </c>
      <c r="J998">
        <v>5.95</v>
      </c>
    </row>
    <row r="999" spans="1:10" x14ac:dyDescent="0.35">
      <c r="A999" t="s">
        <v>162</v>
      </c>
      <c r="B999" t="s">
        <v>200</v>
      </c>
      <c r="C999" t="s">
        <v>209</v>
      </c>
      <c r="D999">
        <v>2018</v>
      </c>
      <c r="E999">
        <v>74</v>
      </c>
      <c r="F999">
        <v>17.670000000000002</v>
      </c>
      <c r="G999">
        <v>4.8893909999999998</v>
      </c>
      <c r="H999">
        <v>3.42</v>
      </c>
      <c r="I999">
        <v>96320</v>
      </c>
      <c r="J999" t="s">
        <v>14</v>
      </c>
    </row>
    <row r="1000" spans="1:10" x14ac:dyDescent="0.35">
      <c r="A1000" t="s">
        <v>162</v>
      </c>
      <c r="B1000" t="s">
        <v>200</v>
      </c>
      <c r="C1000" t="s">
        <v>209</v>
      </c>
      <c r="D1000">
        <v>2019</v>
      </c>
      <c r="E1000">
        <v>75</v>
      </c>
      <c r="F1000">
        <v>17.670000000000002</v>
      </c>
      <c r="G1000">
        <v>4.9852889999999999</v>
      </c>
      <c r="H1000">
        <v>3.32</v>
      </c>
      <c r="I1000">
        <v>96320</v>
      </c>
      <c r="J1000" t="s">
        <v>14</v>
      </c>
    </row>
    <row r="1001" spans="1:10" x14ac:dyDescent="0.35">
      <c r="A1001" t="s">
        <v>162</v>
      </c>
      <c r="B1001" t="s">
        <v>200</v>
      </c>
      <c r="C1001" t="s">
        <v>209</v>
      </c>
      <c r="D1001">
        <v>2020</v>
      </c>
      <c r="E1001">
        <v>75</v>
      </c>
      <c r="F1001">
        <v>17.670000000000002</v>
      </c>
      <c r="G1001">
        <v>5.0875839999999997</v>
      </c>
      <c r="H1001">
        <v>3.04</v>
      </c>
      <c r="I1001">
        <v>96320</v>
      </c>
      <c r="J1001" t="s">
        <v>14</v>
      </c>
    </row>
    <row r="1002" spans="1:10" x14ac:dyDescent="0.35">
      <c r="A1002" t="s">
        <v>162</v>
      </c>
      <c r="B1002" t="s">
        <v>200</v>
      </c>
      <c r="C1002" t="s">
        <v>210</v>
      </c>
      <c r="D1002">
        <v>2015</v>
      </c>
      <c r="E1002">
        <v>76</v>
      </c>
      <c r="F1002">
        <v>38.67</v>
      </c>
      <c r="G1002">
        <v>18.112907</v>
      </c>
      <c r="H1002">
        <v>13.1</v>
      </c>
      <c r="I1002">
        <v>1220190</v>
      </c>
      <c r="J1002">
        <v>7.73</v>
      </c>
    </row>
    <row r="1003" spans="1:10" x14ac:dyDescent="0.35">
      <c r="A1003" t="s">
        <v>162</v>
      </c>
      <c r="B1003" t="s">
        <v>200</v>
      </c>
      <c r="C1003" t="s">
        <v>210</v>
      </c>
      <c r="D1003">
        <v>2016</v>
      </c>
      <c r="E1003">
        <v>77.67</v>
      </c>
      <c r="F1003">
        <v>40</v>
      </c>
      <c r="G1003">
        <v>18.700106000000002</v>
      </c>
      <c r="H1003">
        <v>14.03</v>
      </c>
      <c r="I1003">
        <v>1220190</v>
      </c>
      <c r="J1003">
        <v>1.37</v>
      </c>
    </row>
    <row r="1004" spans="1:10" x14ac:dyDescent="0.35">
      <c r="A1004" t="s">
        <v>162</v>
      </c>
      <c r="B1004" t="s">
        <v>200</v>
      </c>
      <c r="C1004" t="s">
        <v>210</v>
      </c>
      <c r="D1004">
        <v>2017</v>
      </c>
      <c r="E1004">
        <v>79.33</v>
      </c>
      <c r="F1004">
        <v>41.33</v>
      </c>
      <c r="G1004">
        <v>19.311354999999999</v>
      </c>
      <c r="H1004">
        <v>15.37</v>
      </c>
      <c r="I1004">
        <v>1220190</v>
      </c>
      <c r="J1004">
        <v>7.41</v>
      </c>
    </row>
    <row r="1005" spans="1:10" x14ac:dyDescent="0.35">
      <c r="A1005" t="s">
        <v>162</v>
      </c>
      <c r="B1005" t="s">
        <v>200</v>
      </c>
      <c r="C1005" t="s">
        <v>210</v>
      </c>
      <c r="D1005">
        <v>2018</v>
      </c>
      <c r="E1005">
        <v>80.67</v>
      </c>
      <c r="F1005">
        <v>43</v>
      </c>
      <c r="G1005">
        <v>19.934297999999998</v>
      </c>
      <c r="H1005">
        <v>17.07</v>
      </c>
      <c r="I1005">
        <v>1220190</v>
      </c>
      <c r="J1005">
        <v>1.62</v>
      </c>
    </row>
    <row r="1006" spans="1:10" x14ac:dyDescent="0.35">
      <c r="A1006" t="s">
        <v>162</v>
      </c>
      <c r="B1006" t="s">
        <v>200</v>
      </c>
      <c r="C1006" t="s">
        <v>210</v>
      </c>
      <c r="D1006">
        <v>2019</v>
      </c>
      <c r="E1006">
        <v>82</v>
      </c>
      <c r="F1006">
        <v>44.67</v>
      </c>
      <c r="G1006">
        <v>20.567423999999999</v>
      </c>
      <c r="H1006">
        <v>17.28</v>
      </c>
      <c r="I1006">
        <v>1220190</v>
      </c>
      <c r="J1006" t="s">
        <v>14</v>
      </c>
    </row>
    <row r="1007" spans="1:10" x14ac:dyDescent="0.35">
      <c r="A1007" t="s">
        <v>162</v>
      </c>
      <c r="B1007" t="s">
        <v>200</v>
      </c>
      <c r="C1007" t="s">
        <v>210</v>
      </c>
      <c r="D1007">
        <v>2020</v>
      </c>
      <c r="E1007">
        <v>83.67</v>
      </c>
      <c r="F1007">
        <v>46</v>
      </c>
      <c r="G1007">
        <v>21.224039999999999</v>
      </c>
      <c r="H1007">
        <v>17.47</v>
      </c>
      <c r="I1007">
        <v>1220190</v>
      </c>
      <c r="J1007">
        <v>3.53</v>
      </c>
    </row>
    <row r="1008" spans="1:10" x14ac:dyDescent="0.35">
      <c r="A1008" t="s">
        <v>162</v>
      </c>
      <c r="B1008" t="s">
        <v>200</v>
      </c>
      <c r="C1008" t="s">
        <v>211</v>
      </c>
      <c r="D1008">
        <v>2015</v>
      </c>
      <c r="E1008">
        <v>66.67</v>
      </c>
      <c r="F1008">
        <v>42.67</v>
      </c>
      <c r="G1008">
        <v>3.9462199999999998</v>
      </c>
      <c r="H1008">
        <v>6.17</v>
      </c>
      <c r="I1008">
        <v>1030700</v>
      </c>
      <c r="J1008" t="s">
        <v>14</v>
      </c>
    </row>
    <row r="1009" spans="1:10" x14ac:dyDescent="0.35">
      <c r="A1009" t="s">
        <v>162</v>
      </c>
      <c r="B1009" t="s">
        <v>200</v>
      </c>
      <c r="C1009" t="s">
        <v>211</v>
      </c>
      <c r="D1009">
        <v>2016</v>
      </c>
      <c r="E1009">
        <v>68.33</v>
      </c>
      <c r="F1009">
        <v>45.33</v>
      </c>
      <c r="G1009">
        <v>4.0518900000000002</v>
      </c>
      <c r="H1009">
        <v>6.4</v>
      </c>
      <c r="I1009">
        <v>1030700</v>
      </c>
      <c r="J1009" t="s">
        <v>14</v>
      </c>
    </row>
    <row r="1010" spans="1:10" x14ac:dyDescent="0.35">
      <c r="A1010" t="s">
        <v>162</v>
      </c>
      <c r="B1010" t="s">
        <v>200</v>
      </c>
      <c r="C1010" t="s">
        <v>211</v>
      </c>
      <c r="D1010">
        <v>2017</v>
      </c>
      <c r="E1010">
        <v>70</v>
      </c>
      <c r="F1010">
        <v>47.33</v>
      </c>
      <c r="G1010">
        <v>4.1600149999999996</v>
      </c>
      <c r="H1010">
        <v>6.8</v>
      </c>
      <c r="I1010">
        <v>1030700</v>
      </c>
      <c r="J1010">
        <v>10.34</v>
      </c>
    </row>
    <row r="1011" spans="1:10" x14ac:dyDescent="0.35">
      <c r="A1011" t="s">
        <v>162</v>
      </c>
      <c r="B1011" t="s">
        <v>200</v>
      </c>
      <c r="C1011" t="s">
        <v>211</v>
      </c>
      <c r="D1011">
        <v>2018</v>
      </c>
      <c r="E1011">
        <v>70</v>
      </c>
      <c r="F1011">
        <v>47.67</v>
      </c>
      <c r="G1011">
        <v>4.2707119999999996</v>
      </c>
      <c r="H1011">
        <v>7.47</v>
      </c>
      <c r="I1011">
        <v>1030700</v>
      </c>
      <c r="J1011" t="s">
        <v>14</v>
      </c>
    </row>
    <row r="1012" spans="1:10" x14ac:dyDescent="0.35">
      <c r="A1012" t="s">
        <v>162</v>
      </c>
      <c r="B1012" t="s">
        <v>200</v>
      </c>
      <c r="C1012" t="s">
        <v>211</v>
      </c>
      <c r="D1012">
        <v>2019</v>
      </c>
      <c r="E1012">
        <v>70</v>
      </c>
      <c r="F1012">
        <v>47.67</v>
      </c>
      <c r="G1012">
        <v>4.3838489999999997</v>
      </c>
      <c r="H1012">
        <v>8.07</v>
      </c>
      <c r="I1012">
        <v>1030700</v>
      </c>
      <c r="J1012">
        <v>10.42</v>
      </c>
    </row>
    <row r="1013" spans="1:10" x14ac:dyDescent="0.35">
      <c r="A1013" t="s">
        <v>162</v>
      </c>
      <c r="B1013" t="s">
        <v>200</v>
      </c>
      <c r="C1013" t="s">
        <v>211</v>
      </c>
      <c r="D1013">
        <v>2020</v>
      </c>
      <c r="E1013">
        <v>70.33</v>
      </c>
      <c r="F1013">
        <v>48</v>
      </c>
      <c r="G1013">
        <v>4.4986040000000003</v>
      </c>
      <c r="H1013">
        <v>8.41</v>
      </c>
      <c r="I1013">
        <v>1030700</v>
      </c>
      <c r="J1013" t="s">
        <v>14</v>
      </c>
    </row>
    <row r="1014" spans="1:10" x14ac:dyDescent="0.35">
      <c r="A1014" t="s">
        <v>162</v>
      </c>
      <c r="B1014" t="s">
        <v>200</v>
      </c>
      <c r="C1014" t="s">
        <v>212</v>
      </c>
      <c r="D1014">
        <v>2015</v>
      </c>
      <c r="E1014">
        <v>56.67</v>
      </c>
      <c r="F1014">
        <v>21.33</v>
      </c>
      <c r="G1014">
        <v>20.128124</v>
      </c>
      <c r="H1014">
        <v>9.68</v>
      </c>
      <c r="I1014">
        <v>1266700</v>
      </c>
      <c r="J1014" t="s">
        <v>14</v>
      </c>
    </row>
    <row r="1015" spans="1:10" x14ac:dyDescent="0.35">
      <c r="A1015" t="s">
        <v>162</v>
      </c>
      <c r="B1015" t="s">
        <v>200</v>
      </c>
      <c r="C1015" t="s">
        <v>212</v>
      </c>
      <c r="D1015">
        <v>2016</v>
      </c>
      <c r="E1015">
        <v>57</v>
      </c>
      <c r="F1015">
        <v>21.67</v>
      </c>
      <c r="G1015">
        <v>20.921742999999999</v>
      </c>
      <c r="H1015">
        <v>10.4</v>
      </c>
      <c r="I1015">
        <v>1266700</v>
      </c>
      <c r="J1015" t="s">
        <v>14</v>
      </c>
    </row>
    <row r="1016" spans="1:10" x14ac:dyDescent="0.35">
      <c r="A1016" t="s">
        <v>162</v>
      </c>
      <c r="B1016" t="s">
        <v>200</v>
      </c>
      <c r="C1016" t="s">
        <v>212</v>
      </c>
      <c r="D1016">
        <v>2017</v>
      </c>
      <c r="E1016">
        <v>57</v>
      </c>
      <c r="F1016">
        <v>22.33</v>
      </c>
      <c r="G1016">
        <v>21.737922000000001</v>
      </c>
      <c r="H1016">
        <v>11.19</v>
      </c>
      <c r="I1016">
        <v>1266700</v>
      </c>
      <c r="J1016">
        <v>7.77</v>
      </c>
    </row>
    <row r="1017" spans="1:10" x14ac:dyDescent="0.35">
      <c r="A1017" t="s">
        <v>162</v>
      </c>
      <c r="B1017" t="s">
        <v>200</v>
      </c>
      <c r="C1017" t="s">
        <v>212</v>
      </c>
      <c r="D1017">
        <v>2018</v>
      </c>
      <c r="E1017">
        <v>57</v>
      </c>
      <c r="F1017">
        <v>23</v>
      </c>
      <c r="G1017">
        <v>22.577058000000001</v>
      </c>
      <c r="H1017">
        <v>12.81</v>
      </c>
      <c r="I1017">
        <v>1266700</v>
      </c>
      <c r="J1017" t="s">
        <v>14</v>
      </c>
    </row>
    <row r="1018" spans="1:10" x14ac:dyDescent="0.35">
      <c r="A1018" t="s">
        <v>162</v>
      </c>
      <c r="B1018" t="s">
        <v>200</v>
      </c>
      <c r="C1018" t="s">
        <v>212</v>
      </c>
      <c r="D1018">
        <v>2019</v>
      </c>
      <c r="E1018">
        <v>57.33</v>
      </c>
      <c r="F1018">
        <v>23.67</v>
      </c>
      <c r="G1018">
        <v>23.443393</v>
      </c>
      <c r="H1018">
        <v>12.92</v>
      </c>
      <c r="I1018">
        <v>1266700</v>
      </c>
      <c r="J1018" t="s">
        <v>14</v>
      </c>
    </row>
    <row r="1019" spans="1:10" x14ac:dyDescent="0.35">
      <c r="A1019" t="s">
        <v>162</v>
      </c>
      <c r="B1019" t="s">
        <v>200</v>
      </c>
      <c r="C1019" t="s">
        <v>212</v>
      </c>
      <c r="D1019">
        <v>2020</v>
      </c>
      <c r="E1019">
        <v>57.33</v>
      </c>
      <c r="F1019">
        <v>24.67</v>
      </c>
      <c r="G1019">
        <v>24.333639000000002</v>
      </c>
      <c r="H1019">
        <v>13.74</v>
      </c>
      <c r="I1019">
        <v>1266700</v>
      </c>
      <c r="J1019" t="s">
        <v>14</v>
      </c>
    </row>
    <row r="1020" spans="1:10" x14ac:dyDescent="0.35">
      <c r="A1020" t="s">
        <v>162</v>
      </c>
      <c r="B1020" t="s">
        <v>200</v>
      </c>
      <c r="C1020" t="s">
        <v>213</v>
      </c>
      <c r="D1020">
        <v>2015</v>
      </c>
      <c r="E1020">
        <v>69</v>
      </c>
      <c r="F1020">
        <v>38.67</v>
      </c>
      <c r="G1020">
        <v>183.99578500000001</v>
      </c>
      <c r="H1020">
        <v>493.03</v>
      </c>
      <c r="I1020">
        <v>910770</v>
      </c>
      <c r="J1020">
        <v>4.3099999999999996</v>
      </c>
    </row>
    <row r="1021" spans="1:10" x14ac:dyDescent="0.35">
      <c r="A1021" t="s">
        <v>162</v>
      </c>
      <c r="B1021" t="s">
        <v>200</v>
      </c>
      <c r="C1021" t="s">
        <v>213</v>
      </c>
      <c r="D1021">
        <v>2016</v>
      </c>
      <c r="E1021">
        <v>71</v>
      </c>
      <c r="F1021">
        <v>39.33</v>
      </c>
      <c r="G1021">
        <v>188.66693100000001</v>
      </c>
      <c r="H1021">
        <v>404.65</v>
      </c>
      <c r="I1021">
        <v>910770</v>
      </c>
      <c r="J1021">
        <v>7.06</v>
      </c>
    </row>
    <row r="1022" spans="1:10" x14ac:dyDescent="0.35">
      <c r="A1022" t="s">
        <v>162</v>
      </c>
      <c r="B1022" t="s">
        <v>200</v>
      </c>
      <c r="C1022" t="s">
        <v>213</v>
      </c>
      <c r="D1022">
        <v>2017</v>
      </c>
      <c r="E1022">
        <v>72.33</v>
      </c>
      <c r="F1022">
        <v>40</v>
      </c>
      <c r="G1022">
        <v>193.49590699999999</v>
      </c>
      <c r="H1022">
        <v>375.75</v>
      </c>
      <c r="I1022">
        <v>910770</v>
      </c>
      <c r="J1022">
        <v>8.39</v>
      </c>
    </row>
    <row r="1023" spans="1:10" x14ac:dyDescent="0.35">
      <c r="A1023" t="s">
        <v>162</v>
      </c>
      <c r="B1023" t="s">
        <v>200</v>
      </c>
      <c r="C1023" t="s">
        <v>213</v>
      </c>
      <c r="D1023">
        <v>2018</v>
      </c>
      <c r="E1023">
        <v>74</v>
      </c>
      <c r="F1023">
        <v>41</v>
      </c>
      <c r="G1023">
        <v>198.38762299999999</v>
      </c>
      <c r="H1023">
        <v>421.74</v>
      </c>
      <c r="I1023">
        <v>910770</v>
      </c>
      <c r="J1023" t="s">
        <v>14</v>
      </c>
    </row>
    <row r="1024" spans="1:10" x14ac:dyDescent="0.35">
      <c r="A1024" t="s">
        <v>162</v>
      </c>
      <c r="B1024" t="s">
        <v>200</v>
      </c>
      <c r="C1024" t="s">
        <v>213</v>
      </c>
      <c r="D1024">
        <v>2019</v>
      </c>
      <c r="E1024">
        <v>75.67</v>
      </c>
      <c r="F1024">
        <v>41.67</v>
      </c>
      <c r="G1024">
        <v>203.30449200000001</v>
      </c>
      <c r="H1024">
        <v>448.12</v>
      </c>
      <c r="I1024">
        <v>910770</v>
      </c>
      <c r="J1024">
        <v>10.7</v>
      </c>
    </row>
    <row r="1025" spans="1:10" x14ac:dyDescent="0.35">
      <c r="A1025" t="s">
        <v>162</v>
      </c>
      <c r="B1025" t="s">
        <v>200</v>
      </c>
      <c r="C1025" t="s">
        <v>213</v>
      </c>
      <c r="D1025">
        <v>2020</v>
      </c>
      <c r="E1025">
        <v>77.33</v>
      </c>
      <c r="F1025">
        <v>42.67</v>
      </c>
      <c r="G1025">
        <v>208.327405</v>
      </c>
      <c r="H1025">
        <v>432.2</v>
      </c>
      <c r="I1025">
        <v>910770</v>
      </c>
      <c r="J1025" t="s">
        <v>14</v>
      </c>
    </row>
    <row r="1026" spans="1:10" x14ac:dyDescent="0.35">
      <c r="A1026" t="s">
        <v>162</v>
      </c>
      <c r="B1026" t="s">
        <v>200</v>
      </c>
      <c r="C1026" t="s">
        <v>214</v>
      </c>
      <c r="D1026">
        <v>2015</v>
      </c>
      <c r="E1026">
        <v>99</v>
      </c>
      <c r="F1026">
        <v>100</v>
      </c>
      <c r="G1026" t="s">
        <v>14</v>
      </c>
      <c r="H1026" t="s">
        <v>14</v>
      </c>
      <c r="I1026" t="s">
        <v>14</v>
      </c>
      <c r="J1026" t="s">
        <v>14</v>
      </c>
    </row>
    <row r="1027" spans="1:10" x14ac:dyDescent="0.35">
      <c r="A1027" t="s">
        <v>162</v>
      </c>
      <c r="B1027" t="s">
        <v>200</v>
      </c>
      <c r="C1027" t="s">
        <v>214</v>
      </c>
      <c r="D1027">
        <v>2016</v>
      </c>
      <c r="E1027">
        <v>99</v>
      </c>
      <c r="F1027">
        <v>100</v>
      </c>
      <c r="G1027" t="s">
        <v>14</v>
      </c>
      <c r="H1027" t="s">
        <v>14</v>
      </c>
      <c r="I1027" t="s">
        <v>14</v>
      </c>
      <c r="J1027" t="s">
        <v>14</v>
      </c>
    </row>
    <row r="1028" spans="1:10" x14ac:dyDescent="0.35">
      <c r="A1028" t="s">
        <v>162</v>
      </c>
      <c r="B1028" t="s">
        <v>200</v>
      </c>
      <c r="C1028" t="s">
        <v>214</v>
      </c>
      <c r="D1028">
        <v>2017</v>
      </c>
      <c r="E1028">
        <v>99</v>
      </c>
      <c r="F1028">
        <v>100</v>
      </c>
      <c r="G1028" t="s">
        <v>14</v>
      </c>
      <c r="H1028" t="s">
        <v>14</v>
      </c>
      <c r="I1028" t="s">
        <v>14</v>
      </c>
      <c r="J1028" t="s">
        <v>14</v>
      </c>
    </row>
    <row r="1029" spans="1:10" x14ac:dyDescent="0.35">
      <c r="A1029" t="s">
        <v>162</v>
      </c>
      <c r="B1029" t="s">
        <v>200</v>
      </c>
      <c r="C1029" t="s">
        <v>214</v>
      </c>
      <c r="D1029">
        <v>2018</v>
      </c>
      <c r="E1029">
        <v>99</v>
      </c>
      <c r="F1029">
        <v>100</v>
      </c>
      <c r="G1029" t="s">
        <v>14</v>
      </c>
      <c r="H1029" t="s">
        <v>14</v>
      </c>
      <c r="I1029" t="s">
        <v>14</v>
      </c>
      <c r="J1029" t="s">
        <v>14</v>
      </c>
    </row>
    <row r="1030" spans="1:10" x14ac:dyDescent="0.35">
      <c r="A1030" t="s">
        <v>162</v>
      </c>
      <c r="B1030" t="s">
        <v>200</v>
      </c>
      <c r="C1030" t="s">
        <v>214</v>
      </c>
      <c r="D1030">
        <v>2019</v>
      </c>
      <c r="E1030">
        <v>99</v>
      </c>
      <c r="F1030">
        <v>100</v>
      </c>
      <c r="G1030" t="s">
        <v>14</v>
      </c>
      <c r="H1030" t="s">
        <v>14</v>
      </c>
      <c r="I1030" t="s">
        <v>14</v>
      </c>
      <c r="J1030" t="s">
        <v>14</v>
      </c>
    </row>
    <row r="1031" spans="1:10" x14ac:dyDescent="0.35">
      <c r="A1031" t="s">
        <v>162</v>
      </c>
      <c r="B1031" t="s">
        <v>200</v>
      </c>
      <c r="C1031" t="s">
        <v>214</v>
      </c>
      <c r="D1031">
        <v>2020</v>
      </c>
      <c r="E1031">
        <v>99</v>
      </c>
      <c r="F1031">
        <v>100</v>
      </c>
      <c r="G1031" t="s">
        <v>14</v>
      </c>
      <c r="H1031" t="s">
        <v>14</v>
      </c>
      <c r="I1031" t="s">
        <v>14</v>
      </c>
      <c r="J1031" t="s">
        <v>14</v>
      </c>
    </row>
    <row r="1032" spans="1:10" x14ac:dyDescent="0.35">
      <c r="A1032" t="s">
        <v>162</v>
      </c>
      <c r="B1032" t="s">
        <v>200</v>
      </c>
      <c r="C1032" t="s">
        <v>215</v>
      </c>
      <c r="D1032">
        <v>2015</v>
      </c>
      <c r="E1032">
        <v>79.67</v>
      </c>
      <c r="F1032">
        <v>53</v>
      </c>
      <c r="G1032">
        <v>14.356180999999999</v>
      </c>
      <c r="H1032">
        <v>17.77</v>
      </c>
      <c r="I1032">
        <v>192530</v>
      </c>
      <c r="J1032">
        <v>6.76</v>
      </c>
    </row>
    <row r="1033" spans="1:10" x14ac:dyDescent="0.35">
      <c r="A1033" t="s">
        <v>162</v>
      </c>
      <c r="B1033" t="s">
        <v>200</v>
      </c>
      <c r="C1033" t="s">
        <v>215</v>
      </c>
      <c r="D1033">
        <v>2016</v>
      </c>
      <c r="E1033">
        <v>80.67</v>
      </c>
      <c r="F1033">
        <v>53.67</v>
      </c>
      <c r="G1033">
        <v>14.751355999999999</v>
      </c>
      <c r="H1033">
        <v>19.04</v>
      </c>
      <c r="I1033">
        <v>192530</v>
      </c>
      <c r="J1033">
        <v>4.46</v>
      </c>
    </row>
    <row r="1034" spans="1:10" x14ac:dyDescent="0.35">
      <c r="A1034" t="s">
        <v>162</v>
      </c>
      <c r="B1034" t="s">
        <v>200</v>
      </c>
      <c r="C1034" t="s">
        <v>215</v>
      </c>
      <c r="D1034">
        <v>2017</v>
      </c>
      <c r="E1034">
        <v>81.67</v>
      </c>
      <c r="F1034">
        <v>54.33</v>
      </c>
      <c r="G1034">
        <v>15.157793</v>
      </c>
      <c r="H1034">
        <v>21</v>
      </c>
      <c r="I1034">
        <v>192530</v>
      </c>
      <c r="J1034">
        <v>4.08</v>
      </c>
    </row>
    <row r="1035" spans="1:10" x14ac:dyDescent="0.35">
      <c r="A1035" t="s">
        <v>162</v>
      </c>
      <c r="B1035" t="s">
        <v>200</v>
      </c>
      <c r="C1035" t="s">
        <v>215</v>
      </c>
      <c r="D1035">
        <v>2018</v>
      </c>
      <c r="E1035">
        <v>82.67</v>
      </c>
      <c r="F1035">
        <v>55.67</v>
      </c>
      <c r="G1035">
        <v>15.574909</v>
      </c>
      <c r="H1035">
        <v>23.12</v>
      </c>
      <c r="I1035">
        <v>192530</v>
      </c>
      <c r="J1035">
        <v>3.57</v>
      </c>
    </row>
    <row r="1036" spans="1:10" x14ac:dyDescent="0.35">
      <c r="A1036" t="s">
        <v>162</v>
      </c>
      <c r="B1036" t="s">
        <v>200</v>
      </c>
      <c r="C1036" t="s">
        <v>215</v>
      </c>
      <c r="D1036">
        <v>2019</v>
      </c>
      <c r="E1036">
        <v>84</v>
      </c>
      <c r="F1036">
        <v>56.33</v>
      </c>
      <c r="G1036">
        <v>16.000781</v>
      </c>
      <c r="H1036">
        <v>23.4</v>
      </c>
      <c r="I1036">
        <v>192530</v>
      </c>
      <c r="J1036">
        <v>2.86</v>
      </c>
    </row>
    <row r="1037" spans="1:10" x14ac:dyDescent="0.35">
      <c r="A1037" t="s">
        <v>162</v>
      </c>
      <c r="B1037" t="s">
        <v>200</v>
      </c>
      <c r="C1037" t="s">
        <v>215</v>
      </c>
      <c r="D1037">
        <v>2020</v>
      </c>
      <c r="E1037">
        <v>85</v>
      </c>
      <c r="F1037">
        <v>57</v>
      </c>
      <c r="G1037">
        <v>16.436119999999999</v>
      </c>
      <c r="H1037">
        <v>24.49</v>
      </c>
      <c r="I1037">
        <v>192530</v>
      </c>
      <c r="J1037" t="s">
        <v>14</v>
      </c>
    </row>
    <row r="1038" spans="1:10" x14ac:dyDescent="0.35">
      <c r="A1038" t="s">
        <v>162</v>
      </c>
      <c r="B1038" t="s">
        <v>200</v>
      </c>
      <c r="C1038" t="s">
        <v>216</v>
      </c>
      <c r="D1038">
        <v>2015</v>
      </c>
      <c r="E1038">
        <v>60</v>
      </c>
      <c r="F1038">
        <v>15.67</v>
      </c>
      <c r="G1038">
        <v>7.3147729999999997</v>
      </c>
      <c r="H1038">
        <v>4.22</v>
      </c>
      <c r="I1038">
        <v>72180</v>
      </c>
      <c r="J1038" t="s">
        <v>14</v>
      </c>
    </row>
    <row r="1039" spans="1:10" x14ac:dyDescent="0.35">
      <c r="A1039" t="s">
        <v>162</v>
      </c>
      <c r="B1039" t="s">
        <v>200</v>
      </c>
      <c r="C1039" t="s">
        <v>216</v>
      </c>
      <c r="D1039">
        <v>2016</v>
      </c>
      <c r="E1039">
        <v>60.67</v>
      </c>
      <c r="F1039">
        <v>16.329999999999998</v>
      </c>
      <c r="G1039">
        <v>7.493913</v>
      </c>
      <c r="H1039">
        <v>3.67</v>
      </c>
      <c r="I1039">
        <v>72180</v>
      </c>
      <c r="J1039" t="s">
        <v>14</v>
      </c>
    </row>
    <row r="1040" spans="1:10" x14ac:dyDescent="0.35">
      <c r="A1040" t="s">
        <v>162</v>
      </c>
      <c r="B1040" t="s">
        <v>200</v>
      </c>
      <c r="C1040" t="s">
        <v>216</v>
      </c>
      <c r="D1040">
        <v>2017</v>
      </c>
      <c r="E1040">
        <v>61.67</v>
      </c>
      <c r="F1040">
        <v>16.670000000000002</v>
      </c>
      <c r="G1040">
        <v>7.6775650000000004</v>
      </c>
      <c r="H1040">
        <v>3.72</v>
      </c>
      <c r="I1040">
        <v>72180</v>
      </c>
      <c r="J1040" t="s">
        <v>14</v>
      </c>
    </row>
    <row r="1041" spans="1:10" x14ac:dyDescent="0.35">
      <c r="A1041" t="s">
        <v>162</v>
      </c>
      <c r="B1041" t="s">
        <v>200</v>
      </c>
      <c r="C1041" t="s">
        <v>216</v>
      </c>
      <c r="D1041">
        <v>2018</v>
      </c>
      <c r="E1041">
        <v>62.67</v>
      </c>
      <c r="F1041">
        <v>16.670000000000002</v>
      </c>
      <c r="G1041">
        <v>7.861281</v>
      </c>
      <c r="H1041">
        <v>4.09</v>
      </c>
      <c r="I1041">
        <v>72180</v>
      </c>
      <c r="J1041">
        <v>3.19</v>
      </c>
    </row>
    <row r="1042" spans="1:10" x14ac:dyDescent="0.35">
      <c r="A1042" t="s">
        <v>162</v>
      </c>
      <c r="B1042" t="s">
        <v>200</v>
      </c>
      <c r="C1042" t="s">
        <v>216</v>
      </c>
      <c r="D1042">
        <v>2019</v>
      </c>
      <c r="E1042">
        <v>64</v>
      </c>
      <c r="F1042">
        <v>17</v>
      </c>
      <c r="G1042">
        <v>8.0468279999999996</v>
      </c>
      <c r="H1042">
        <v>4.08</v>
      </c>
      <c r="I1042">
        <v>72180</v>
      </c>
      <c r="J1042" t="s">
        <v>14</v>
      </c>
    </row>
    <row r="1043" spans="1:10" x14ac:dyDescent="0.35">
      <c r="A1043" t="s">
        <v>162</v>
      </c>
      <c r="B1043" t="s">
        <v>200</v>
      </c>
      <c r="C1043" t="s">
        <v>216</v>
      </c>
      <c r="D1043">
        <v>2020</v>
      </c>
      <c r="E1043">
        <v>65</v>
      </c>
      <c r="F1043">
        <v>17.329999999999998</v>
      </c>
      <c r="G1043">
        <v>8.2339699999999993</v>
      </c>
      <c r="H1043">
        <v>4.0599999999999996</v>
      </c>
      <c r="I1043">
        <v>72180</v>
      </c>
      <c r="J1043" t="s">
        <v>14</v>
      </c>
    </row>
    <row r="1044" spans="1:10" x14ac:dyDescent="0.35">
      <c r="A1044" t="s">
        <v>162</v>
      </c>
      <c r="B1044" t="s">
        <v>200</v>
      </c>
      <c r="C1044" t="s">
        <v>217</v>
      </c>
      <c r="D1044">
        <v>2015</v>
      </c>
      <c r="E1044">
        <v>66.33</v>
      </c>
      <c r="F1044">
        <v>17.670000000000002</v>
      </c>
      <c r="G1044">
        <v>7.4732289999999999</v>
      </c>
      <c r="H1044">
        <v>4.18</v>
      </c>
      <c r="I1044">
        <v>54390</v>
      </c>
      <c r="J1044">
        <v>2.2000000000000002</v>
      </c>
    </row>
    <row r="1045" spans="1:10" x14ac:dyDescent="0.35">
      <c r="A1045" t="s">
        <v>162</v>
      </c>
      <c r="B1045" t="s">
        <v>200</v>
      </c>
      <c r="C1045" t="s">
        <v>217</v>
      </c>
      <c r="D1045">
        <v>2016</v>
      </c>
      <c r="E1045">
        <v>67.33</v>
      </c>
      <c r="F1045">
        <v>18.329999999999998</v>
      </c>
      <c r="G1045">
        <v>7.6613540000000002</v>
      </c>
      <c r="H1045">
        <v>6.03</v>
      </c>
      <c r="I1045">
        <v>54390</v>
      </c>
      <c r="J1045" t="s">
        <v>14</v>
      </c>
    </row>
    <row r="1046" spans="1:10" x14ac:dyDescent="0.35">
      <c r="A1046" t="s">
        <v>162</v>
      </c>
      <c r="B1046" t="s">
        <v>200</v>
      </c>
      <c r="C1046" t="s">
        <v>217</v>
      </c>
      <c r="D1046">
        <v>2017</v>
      </c>
      <c r="E1046">
        <v>68.33</v>
      </c>
      <c r="F1046">
        <v>18.329999999999998</v>
      </c>
      <c r="G1046">
        <v>7.8527950000000004</v>
      </c>
      <c r="H1046">
        <v>6.4</v>
      </c>
      <c r="I1046">
        <v>54390</v>
      </c>
      <c r="J1046">
        <v>3.74</v>
      </c>
    </row>
    <row r="1047" spans="1:10" x14ac:dyDescent="0.35">
      <c r="A1047" t="s">
        <v>162</v>
      </c>
      <c r="B1047" t="s">
        <v>200</v>
      </c>
      <c r="C1047" t="s">
        <v>217</v>
      </c>
      <c r="D1047">
        <v>2018</v>
      </c>
      <c r="E1047">
        <v>69.33</v>
      </c>
      <c r="F1047">
        <v>19.329999999999998</v>
      </c>
      <c r="G1047">
        <v>8.0466789999999992</v>
      </c>
      <c r="H1047">
        <v>7.11</v>
      </c>
      <c r="I1047">
        <v>54390</v>
      </c>
      <c r="J1047" t="s">
        <v>14</v>
      </c>
    </row>
    <row r="1048" spans="1:10" x14ac:dyDescent="0.35">
      <c r="A1048" t="s">
        <v>162</v>
      </c>
      <c r="B1048" t="s">
        <v>200</v>
      </c>
      <c r="C1048" t="s">
        <v>217</v>
      </c>
      <c r="D1048">
        <v>2019</v>
      </c>
      <c r="E1048">
        <v>70.33</v>
      </c>
      <c r="F1048">
        <v>19.670000000000002</v>
      </c>
      <c r="G1048">
        <v>8.2430939999999993</v>
      </c>
      <c r="H1048">
        <v>7.22</v>
      </c>
      <c r="I1048">
        <v>54390</v>
      </c>
      <c r="J1048" t="s">
        <v>14</v>
      </c>
    </row>
    <row r="1049" spans="1:10" x14ac:dyDescent="0.35">
      <c r="A1049" t="s">
        <v>162</v>
      </c>
      <c r="B1049" t="s">
        <v>200</v>
      </c>
      <c r="C1049" t="s">
        <v>217</v>
      </c>
      <c r="D1049">
        <v>2020</v>
      </c>
      <c r="E1049">
        <v>70.67</v>
      </c>
      <c r="F1049">
        <v>20</v>
      </c>
      <c r="G1049">
        <v>8.4425799999999995</v>
      </c>
      <c r="H1049">
        <v>7.57</v>
      </c>
      <c r="I1049">
        <v>54390</v>
      </c>
      <c r="J1049" t="s">
        <v>14</v>
      </c>
    </row>
    <row r="1050" spans="1:10" x14ac:dyDescent="0.35">
      <c r="D1050" s="1"/>
    </row>
    <row r="1051" spans="1:10" x14ac:dyDescent="0.35">
      <c r="D1051" s="1"/>
    </row>
    <row r="1052" spans="1:10" x14ac:dyDescent="0.35">
      <c r="D1052" s="1"/>
    </row>
    <row r="1053" spans="1:10" x14ac:dyDescent="0.35">
      <c r="D1053" s="1"/>
    </row>
    <row r="1054" spans="1:10" x14ac:dyDescent="0.35">
      <c r="D1054" s="1"/>
    </row>
  </sheetData>
  <dataConsolidate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Access_to_basic_services</vt:lpstr>
      <vt:lpstr>Summary Statistics</vt:lpstr>
      <vt:lpstr>Trend Over Time</vt:lpstr>
      <vt:lpstr>Regional Comparison</vt:lpstr>
      <vt:lpstr>Charts</vt:lpstr>
      <vt:lpstr>Access_to_basic_services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Diana</dc:creator>
  <cp:lastModifiedBy>Fair Olis</cp:lastModifiedBy>
  <dcterms:created xsi:type="dcterms:W3CDTF">2026-03-12T08:24:21Z</dcterms:created>
  <dcterms:modified xsi:type="dcterms:W3CDTF">2026-03-24T10:10:27Z</dcterms:modified>
</cp:coreProperties>
</file>